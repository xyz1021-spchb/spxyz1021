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HAOZ\QUP\FMP\"/>
    </mc:Choice>
  </mc:AlternateContent>
  <xr:revisionPtr revIDLastSave="0" documentId="13_ncr:1_{1F05F93E-CC13-47A9-BAF2-31FA3A10B4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BA Tes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2" l="1"/>
  <c r="A101" i="2"/>
  <c r="B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2"/>
  <sheetViews>
    <sheetView tabSelected="1" topLeftCell="A50" workbookViewId="0">
      <selection activeCell="D62" sqref="D62"/>
    </sheetView>
  </sheetViews>
  <sheetFormatPr defaultColWidth="12.6640625" defaultRowHeight="15.75" customHeight="1" x14ac:dyDescent="0.25"/>
  <cols>
    <col min="1" max="1" width="34.44140625" customWidth="1"/>
    <col min="4" max="4" width="18.21875" customWidth="1"/>
    <col min="6" max="6" width="67.33203125" customWidth="1"/>
  </cols>
  <sheetData>
    <row r="1" spans="1:4" ht="13.2" x14ac:dyDescent="0.25">
      <c r="A1" s="1" t="str">
        <f ca="1">IFERROR(__xludf.DUMMYFUNCTION("GOOGLEFINANCE(""BABA"", ""price"", ""1/9/2024"", ""27/1/2025"", ""DAILY"")"),"Date")</f>
        <v>Date</v>
      </c>
      <c r="B1" s="1" t="str">
        <f ca="1">IFERROR(__xludf.DUMMYFUNCTION("""COMPUTED_VALUE"""),"Close")</f>
        <v>Close</v>
      </c>
      <c r="D1" s="1"/>
    </row>
    <row r="2" spans="1:4" ht="13.2" x14ac:dyDescent="0.25">
      <c r="A2" s="2">
        <f ca="1">IFERROR(__xludf.DUMMYFUNCTION("""COMPUTED_VALUE"""),45538.6666666666)</f>
        <v>45538.666666666599</v>
      </c>
      <c r="B2" s="1">
        <f ca="1">IFERROR(__xludf.DUMMYFUNCTION("""COMPUTED_VALUE"""),82.27)</f>
        <v>82.27</v>
      </c>
      <c r="D2" s="1"/>
    </row>
    <row r="3" spans="1:4" ht="13.2" x14ac:dyDescent="0.25">
      <c r="A3" s="2">
        <f ca="1">IFERROR(__xludf.DUMMYFUNCTION("""COMPUTED_VALUE"""),45539.6666666666)</f>
        <v>45539.666666666599</v>
      </c>
      <c r="B3" s="1">
        <f ca="1">IFERROR(__xludf.DUMMYFUNCTION("""COMPUTED_VALUE"""),82.47)</f>
        <v>82.47</v>
      </c>
    </row>
    <row r="4" spans="1:4" ht="13.2" x14ac:dyDescent="0.25">
      <c r="A4" s="2">
        <f ca="1">IFERROR(__xludf.DUMMYFUNCTION("""COMPUTED_VALUE"""),45540.6666666666)</f>
        <v>45540.666666666599</v>
      </c>
      <c r="B4" s="1">
        <f ca="1">IFERROR(__xludf.DUMMYFUNCTION("""COMPUTED_VALUE"""),82.43)</f>
        <v>82.43</v>
      </c>
    </row>
    <row r="5" spans="1:4" ht="13.2" x14ac:dyDescent="0.25">
      <c r="A5" s="2">
        <f ca="1">IFERROR(__xludf.DUMMYFUNCTION("""COMPUTED_VALUE"""),45541.6666666666)</f>
        <v>45541.666666666599</v>
      </c>
      <c r="B5" s="1">
        <f ca="1">IFERROR(__xludf.DUMMYFUNCTION("""COMPUTED_VALUE"""),81.18)</f>
        <v>81.180000000000007</v>
      </c>
    </row>
    <row r="6" spans="1:4" ht="13.2" x14ac:dyDescent="0.25">
      <c r="A6" s="2">
        <f ca="1">IFERROR(__xludf.DUMMYFUNCTION("""COMPUTED_VALUE"""),45544.6666666666)</f>
        <v>45544.666666666599</v>
      </c>
      <c r="B6" s="1">
        <f ca="1">IFERROR(__xludf.DUMMYFUNCTION("""COMPUTED_VALUE"""),81.44)</f>
        <v>81.44</v>
      </c>
    </row>
    <row r="7" spans="1:4" ht="13.2" x14ac:dyDescent="0.25">
      <c r="A7" s="2">
        <f ca="1">IFERROR(__xludf.DUMMYFUNCTION("""COMPUTED_VALUE"""),45545.6666666666)</f>
        <v>45545.666666666599</v>
      </c>
      <c r="B7" s="1">
        <f ca="1">IFERROR(__xludf.DUMMYFUNCTION("""COMPUTED_VALUE"""),83.8)</f>
        <v>83.8</v>
      </c>
    </row>
    <row r="8" spans="1:4" ht="13.2" x14ac:dyDescent="0.25">
      <c r="A8" s="2">
        <f ca="1">IFERROR(__xludf.DUMMYFUNCTION("""COMPUTED_VALUE"""),45546.6666666666)</f>
        <v>45546.666666666599</v>
      </c>
      <c r="B8" s="1">
        <f ca="1">IFERROR(__xludf.DUMMYFUNCTION("""COMPUTED_VALUE"""),84.81)</f>
        <v>84.81</v>
      </c>
    </row>
    <row r="9" spans="1:4" ht="13.2" x14ac:dyDescent="0.25">
      <c r="A9" s="2">
        <f ca="1">IFERROR(__xludf.DUMMYFUNCTION("""COMPUTED_VALUE"""),45547.6666666666)</f>
        <v>45547.666666666599</v>
      </c>
      <c r="B9" s="1">
        <f ca="1">IFERROR(__xludf.DUMMYFUNCTION("""COMPUTED_VALUE"""),85.49)</f>
        <v>85.49</v>
      </c>
    </row>
    <row r="10" spans="1:4" ht="13.2" x14ac:dyDescent="0.25">
      <c r="A10" s="2">
        <f ca="1">IFERROR(__xludf.DUMMYFUNCTION("""COMPUTED_VALUE"""),45548.6666666666)</f>
        <v>45548.666666666599</v>
      </c>
      <c r="B10" s="1">
        <f ca="1">IFERROR(__xludf.DUMMYFUNCTION("""COMPUTED_VALUE"""),84.69)</f>
        <v>84.69</v>
      </c>
    </row>
    <row r="11" spans="1:4" ht="13.2" x14ac:dyDescent="0.25">
      <c r="A11" s="2">
        <f ca="1">IFERROR(__xludf.DUMMYFUNCTION("""COMPUTED_VALUE"""),45551.6666666666)</f>
        <v>45551.666666666599</v>
      </c>
      <c r="B11" s="1">
        <f ca="1">IFERROR(__xludf.DUMMYFUNCTION("""COMPUTED_VALUE"""),83.6)</f>
        <v>83.6</v>
      </c>
    </row>
    <row r="12" spans="1:4" ht="13.2" x14ac:dyDescent="0.25">
      <c r="A12" s="2">
        <f ca="1">IFERROR(__xludf.DUMMYFUNCTION("""COMPUTED_VALUE"""),45552.6666666666)</f>
        <v>45552.666666666599</v>
      </c>
      <c r="B12" s="1">
        <f ca="1">IFERROR(__xludf.DUMMYFUNCTION("""COMPUTED_VALUE"""),84.7)</f>
        <v>84.7</v>
      </c>
    </row>
    <row r="13" spans="1:4" ht="13.2" x14ac:dyDescent="0.25">
      <c r="A13" s="2">
        <f ca="1">IFERROR(__xludf.DUMMYFUNCTION("""COMPUTED_VALUE"""),45553.6666666666)</f>
        <v>45553.666666666599</v>
      </c>
      <c r="B13" s="1">
        <f ca="1">IFERROR(__xludf.DUMMYFUNCTION("""COMPUTED_VALUE"""),84.42)</f>
        <v>84.42</v>
      </c>
    </row>
    <row r="14" spans="1:4" ht="13.2" x14ac:dyDescent="0.25">
      <c r="A14" s="2">
        <f ca="1">IFERROR(__xludf.DUMMYFUNCTION("""COMPUTED_VALUE"""),45554.6666666666)</f>
        <v>45554.666666666599</v>
      </c>
      <c r="B14" s="1">
        <f ca="1">IFERROR(__xludf.DUMMYFUNCTION("""COMPUTED_VALUE"""),88.49)</f>
        <v>88.49</v>
      </c>
    </row>
    <row r="15" spans="1:4" ht="13.2" x14ac:dyDescent="0.25">
      <c r="A15" s="2">
        <f ca="1">IFERROR(__xludf.DUMMYFUNCTION("""COMPUTED_VALUE"""),45555.6666666666)</f>
        <v>45555.666666666599</v>
      </c>
      <c r="B15" s="1">
        <f ca="1">IFERROR(__xludf.DUMMYFUNCTION("""COMPUTED_VALUE"""),88.29)</f>
        <v>88.29</v>
      </c>
    </row>
    <row r="16" spans="1:4" ht="13.2" x14ac:dyDescent="0.25">
      <c r="A16" s="2">
        <f ca="1">IFERROR(__xludf.DUMMYFUNCTION("""COMPUTED_VALUE"""),45558.6666666666)</f>
        <v>45558.666666666599</v>
      </c>
      <c r="B16" s="1">
        <f ca="1">IFERROR(__xludf.DUMMYFUNCTION("""COMPUTED_VALUE"""),90.09)</f>
        <v>90.09</v>
      </c>
    </row>
    <row r="17" spans="1:2" ht="13.2" x14ac:dyDescent="0.25">
      <c r="A17" s="2">
        <f ca="1">IFERROR(__xludf.DUMMYFUNCTION("""COMPUTED_VALUE"""),45559.6666666666)</f>
        <v>45559.666666666599</v>
      </c>
      <c r="B17" s="1">
        <f ca="1">IFERROR(__xludf.DUMMYFUNCTION("""COMPUTED_VALUE"""),97.19)</f>
        <v>97.19</v>
      </c>
    </row>
    <row r="18" spans="1:2" ht="13.2" x14ac:dyDescent="0.25">
      <c r="A18" s="2">
        <f ca="1">IFERROR(__xludf.DUMMYFUNCTION("""COMPUTED_VALUE"""),45560.6666666666)</f>
        <v>45560.666666666599</v>
      </c>
      <c r="B18" s="1">
        <f ca="1">IFERROR(__xludf.DUMMYFUNCTION("""COMPUTED_VALUE"""),95.46)</f>
        <v>95.46</v>
      </c>
    </row>
    <row r="19" spans="1:2" ht="13.2" x14ac:dyDescent="0.25">
      <c r="A19" s="2">
        <f ca="1">IFERROR(__xludf.DUMMYFUNCTION("""COMPUTED_VALUE"""),45561.6666666666)</f>
        <v>45561.666666666599</v>
      </c>
      <c r="B19" s="1">
        <f ca="1">IFERROR(__xludf.DUMMYFUNCTION("""COMPUTED_VALUE"""),105.07)</f>
        <v>105.07</v>
      </c>
    </row>
    <row r="20" spans="1:2" ht="13.2" x14ac:dyDescent="0.25">
      <c r="A20" s="2">
        <f ca="1">IFERROR(__xludf.DUMMYFUNCTION("""COMPUTED_VALUE"""),45562.6666666666)</f>
        <v>45562.666666666599</v>
      </c>
      <c r="B20" s="1">
        <f ca="1">IFERROR(__xludf.DUMMYFUNCTION("""COMPUTED_VALUE"""),107.33)</f>
        <v>107.33</v>
      </c>
    </row>
    <row r="21" spans="1:2" ht="13.2" x14ac:dyDescent="0.25">
      <c r="A21" s="2">
        <f ca="1">IFERROR(__xludf.DUMMYFUNCTION("""COMPUTED_VALUE"""),45565.6666666666)</f>
        <v>45565.666666666599</v>
      </c>
      <c r="B21" s="1">
        <f ca="1">IFERROR(__xludf.DUMMYFUNCTION("""COMPUTED_VALUE"""),106.12)</f>
        <v>106.12</v>
      </c>
    </row>
    <row r="22" spans="1:2" ht="13.2" x14ac:dyDescent="0.25">
      <c r="A22" s="2">
        <f ca="1">IFERROR(__xludf.DUMMYFUNCTION("""COMPUTED_VALUE"""),45566.6666666666)</f>
        <v>45566.666666666599</v>
      </c>
      <c r="B22" s="1">
        <f ca="1">IFERROR(__xludf.DUMMYFUNCTION("""COMPUTED_VALUE"""),112.74)</f>
        <v>112.74</v>
      </c>
    </row>
    <row r="23" spans="1:2" ht="13.2" x14ac:dyDescent="0.25">
      <c r="A23" s="2">
        <f ca="1">IFERROR(__xludf.DUMMYFUNCTION("""COMPUTED_VALUE"""),45567.6666666666)</f>
        <v>45567.666666666599</v>
      </c>
      <c r="B23" s="1">
        <f ca="1">IFERROR(__xludf.DUMMYFUNCTION("""COMPUTED_VALUE"""),115.25)</f>
        <v>115.25</v>
      </c>
    </row>
    <row r="24" spans="1:2" ht="13.2" x14ac:dyDescent="0.25">
      <c r="A24" s="2">
        <f ca="1">IFERROR(__xludf.DUMMYFUNCTION("""COMPUTED_VALUE"""),45568.6666666666)</f>
        <v>45568.666666666599</v>
      </c>
      <c r="B24" s="1">
        <f ca="1">IFERROR(__xludf.DUMMYFUNCTION("""COMPUTED_VALUE"""),112.84)</f>
        <v>112.84</v>
      </c>
    </row>
    <row r="25" spans="1:2" ht="13.2" x14ac:dyDescent="0.25">
      <c r="A25" s="2">
        <f ca="1">IFERROR(__xludf.DUMMYFUNCTION("""COMPUTED_VALUE"""),45569.6666666666)</f>
        <v>45569.666666666599</v>
      </c>
      <c r="B25" s="1">
        <f ca="1">IFERROR(__xludf.DUMMYFUNCTION("""COMPUTED_VALUE"""),114.53)</f>
        <v>114.53</v>
      </c>
    </row>
    <row r="26" spans="1:2" ht="13.2" x14ac:dyDescent="0.25">
      <c r="A26" s="2">
        <f ca="1">IFERROR(__xludf.DUMMYFUNCTION("""COMPUTED_VALUE"""),45572.6666666666)</f>
        <v>45572.666666666599</v>
      </c>
      <c r="B26" s="1">
        <f ca="1">IFERROR(__xludf.DUMMYFUNCTION("""COMPUTED_VALUE"""),117.52)</f>
        <v>117.52</v>
      </c>
    </row>
    <row r="27" spans="1:2" ht="13.2" x14ac:dyDescent="0.25">
      <c r="A27" s="2">
        <f ca="1">IFERROR(__xludf.DUMMYFUNCTION("""COMPUTED_VALUE"""),45573.6666666666)</f>
        <v>45573.666666666599</v>
      </c>
      <c r="B27" s="1">
        <f ca="1">IFERROR(__xludf.DUMMYFUNCTION("""COMPUTED_VALUE"""),109.68)</f>
        <v>109.68</v>
      </c>
    </row>
    <row r="28" spans="1:2" ht="13.2" x14ac:dyDescent="0.25">
      <c r="A28" s="2">
        <f ca="1">IFERROR(__xludf.DUMMYFUNCTION("""COMPUTED_VALUE"""),45574.6666666666)</f>
        <v>45574.666666666599</v>
      </c>
      <c r="B28" s="1">
        <f ca="1">IFERROR(__xludf.DUMMYFUNCTION("""COMPUTED_VALUE"""),107.89)</f>
        <v>107.89</v>
      </c>
    </row>
    <row r="29" spans="1:2" ht="13.2" x14ac:dyDescent="0.25">
      <c r="A29" s="2">
        <f ca="1">IFERROR(__xludf.DUMMYFUNCTION("""COMPUTED_VALUE"""),45575.6666666666)</f>
        <v>45575.666666666599</v>
      </c>
      <c r="B29" s="1">
        <f ca="1">IFERROR(__xludf.DUMMYFUNCTION("""COMPUTED_VALUE"""),109.28)</f>
        <v>109.28</v>
      </c>
    </row>
    <row r="30" spans="1:2" ht="13.2" x14ac:dyDescent="0.25">
      <c r="A30" s="2">
        <f ca="1">IFERROR(__xludf.DUMMYFUNCTION("""COMPUTED_VALUE"""),45576.6666666666)</f>
        <v>45576.666666666599</v>
      </c>
      <c r="B30" s="1">
        <f ca="1">IFERROR(__xludf.DUMMYFUNCTION("""COMPUTED_VALUE"""),110.14)</f>
        <v>110.14</v>
      </c>
    </row>
    <row r="31" spans="1:2" ht="13.2" x14ac:dyDescent="0.25">
      <c r="A31" s="2">
        <f ca="1">IFERROR(__xludf.DUMMYFUNCTION("""COMPUTED_VALUE"""),45579.6666666666)</f>
        <v>45579.666666666599</v>
      </c>
      <c r="B31" s="1">
        <f ca="1">IFERROR(__xludf.DUMMYFUNCTION("""COMPUTED_VALUE"""),107.81)</f>
        <v>107.81</v>
      </c>
    </row>
    <row r="32" spans="1:2" ht="13.2" x14ac:dyDescent="0.25">
      <c r="A32" s="2">
        <f ca="1">IFERROR(__xludf.DUMMYFUNCTION("""COMPUTED_VALUE"""),45580.6666666666)</f>
        <v>45580.666666666599</v>
      </c>
      <c r="B32" s="1">
        <f ca="1">IFERROR(__xludf.DUMMYFUNCTION("""COMPUTED_VALUE"""),101.84)</f>
        <v>101.84</v>
      </c>
    </row>
    <row r="33" spans="1:2" ht="13.2" x14ac:dyDescent="0.25">
      <c r="A33" s="2">
        <f ca="1">IFERROR(__xludf.DUMMYFUNCTION("""COMPUTED_VALUE"""),45581.6666666666)</f>
        <v>45581.666666666599</v>
      </c>
      <c r="B33" s="1">
        <f ca="1">IFERROR(__xludf.DUMMYFUNCTION("""COMPUTED_VALUE"""),102.17)</f>
        <v>102.17</v>
      </c>
    </row>
    <row r="34" spans="1:2" ht="13.2" x14ac:dyDescent="0.25">
      <c r="A34" s="2">
        <f ca="1">IFERROR(__xludf.DUMMYFUNCTION("""COMPUTED_VALUE"""),45582.6666666666)</f>
        <v>45582.666666666599</v>
      </c>
      <c r="B34" s="1">
        <f ca="1">IFERROR(__xludf.DUMMYFUNCTION("""COMPUTED_VALUE"""),100.07)</f>
        <v>100.07</v>
      </c>
    </row>
    <row r="35" spans="1:2" ht="13.2" x14ac:dyDescent="0.25">
      <c r="A35" s="2">
        <f ca="1">IFERROR(__xludf.DUMMYFUNCTION("""COMPUTED_VALUE"""),45583.6666666666)</f>
        <v>45583.666666666599</v>
      </c>
      <c r="B35" s="1">
        <f ca="1">IFERROR(__xludf.DUMMYFUNCTION("""COMPUTED_VALUE"""),102.43)</f>
        <v>102.43</v>
      </c>
    </row>
    <row r="36" spans="1:2" ht="13.2" x14ac:dyDescent="0.25">
      <c r="A36" s="2">
        <f ca="1">IFERROR(__xludf.DUMMYFUNCTION("""COMPUTED_VALUE"""),45586.6666666666)</f>
        <v>45586.666666666599</v>
      </c>
      <c r="B36" s="1">
        <f ca="1">IFERROR(__xludf.DUMMYFUNCTION("""COMPUTED_VALUE"""),100.91)</f>
        <v>100.91</v>
      </c>
    </row>
    <row r="37" spans="1:2" ht="13.2" x14ac:dyDescent="0.25">
      <c r="A37" s="2">
        <f ca="1">IFERROR(__xludf.DUMMYFUNCTION("""COMPUTED_VALUE"""),45587.6666666666)</f>
        <v>45587.666666666599</v>
      </c>
      <c r="B37" s="1">
        <f ca="1">IFERROR(__xludf.DUMMYFUNCTION("""COMPUTED_VALUE"""),100.46)</f>
        <v>100.46</v>
      </c>
    </row>
    <row r="38" spans="1:2" ht="13.2" x14ac:dyDescent="0.25">
      <c r="A38" s="2">
        <f ca="1">IFERROR(__xludf.DUMMYFUNCTION("""COMPUTED_VALUE"""),45588.6666666666)</f>
        <v>45588.666666666599</v>
      </c>
      <c r="B38" s="1">
        <f ca="1">IFERROR(__xludf.DUMMYFUNCTION("""COMPUTED_VALUE"""),98)</f>
        <v>98</v>
      </c>
    </row>
    <row r="39" spans="1:2" ht="13.2" x14ac:dyDescent="0.25">
      <c r="A39" s="2">
        <f ca="1">IFERROR(__xludf.DUMMYFUNCTION("""COMPUTED_VALUE"""),45589.6666666666)</f>
        <v>45589.666666666599</v>
      </c>
      <c r="B39" s="1">
        <f ca="1">IFERROR(__xludf.DUMMYFUNCTION("""COMPUTED_VALUE"""),96.36)</f>
        <v>96.36</v>
      </c>
    </row>
    <row r="40" spans="1:2" ht="13.2" x14ac:dyDescent="0.25">
      <c r="A40" s="2">
        <f ca="1">IFERROR(__xludf.DUMMYFUNCTION("""COMPUTED_VALUE"""),45590.6666666666)</f>
        <v>45590.666666666599</v>
      </c>
      <c r="B40" s="1">
        <f ca="1">IFERROR(__xludf.DUMMYFUNCTION("""COMPUTED_VALUE"""),97.42)</f>
        <v>97.42</v>
      </c>
    </row>
    <row r="41" spans="1:2" ht="13.2" x14ac:dyDescent="0.25">
      <c r="A41" s="2">
        <f ca="1">IFERROR(__xludf.DUMMYFUNCTION("""COMPUTED_VALUE"""),45593.6666666666)</f>
        <v>45593.666666666599</v>
      </c>
      <c r="B41" s="1">
        <f ca="1">IFERROR(__xludf.DUMMYFUNCTION("""COMPUTED_VALUE"""),99.93)</f>
        <v>99.93</v>
      </c>
    </row>
    <row r="42" spans="1:2" ht="13.2" x14ac:dyDescent="0.25">
      <c r="A42" s="2">
        <f ca="1">IFERROR(__xludf.DUMMYFUNCTION("""COMPUTED_VALUE"""),45594.6666666666)</f>
        <v>45594.666666666599</v>
      </c>
      <c r="B42" s="1">
        <f ca="1">IFERROR(__xludf.DUMMYFUNCTION("""COMPUTED_VALUE"""),99.83)</f>
        <v>99.83</v>
      </c>
    </row>
    <row r="43" spans="1:2" ht="13.2" x14ac:dyDescent="0.25">
      <c r="A43" s="2">
        <f ca="1">IFERROR(__xludf.DUMMYFUNCTION("""COMPUTED_VALUE"""),45595.6666666666)</f>
        <v>45595.666666666599</v>
      </c>
      <c r="B43" s="1">
        <f ca="1">IFERROR(__xludf.DUMMYFUNCTION("""COMPUTED_VALUE"""),98.7)</f>
        <v>98.7</v>
      </c>
    </row>
    <row r="44" spans="1:2" ht="13.2" x14ac:dyDescent="0.25">
      <c r="A44" s="2">
        <f ca="1">IFERROR(__xludf.DUMMYFUNCTION("""COMPUTED_VALUE"""),45596.6666666666)</f>
        <v>45596.666666666599</v>
      </c>
      <c r="B44" s="1">
        <f ca="1">IFERROR(__xludf.DUMMYFUNCTION("""COMPUTED_VALUE"""),97.98)</f>
        <v>97.98</v>
      </c>
    </row>
    <row r="45" spans="1:2" ht="13.2" x14ac:dyDescent="0.25">
      <c r="A45" s="2">
        <f ca="1">IFERROR(__xludf.DUMMYFUNCTION("""COMPUTED_VALUE"""),45597.6666666666)</f>
        <v>45597.666666666599</v>
      </c>
      <c r="B45" s="1">
        <f ca="1">IFERROR(__xludf.DUMMYFUNCTION("""COMPUTED_VALUE"""),97.58)</f>
        <v>97.58</v>
      </c>
    </row>
    <row r="46" spans="1:2" ht="13.2" x14ac:dyDescent="0.25">
      <c r="A46" s="2">
        <f ca="1">IFERROR(__xludf.DUMMYFUNCTION("""COMPUTED_VALUE"""),45600.6666666666)</f>
        <v>45600.666666666599</v>
      </c>
      <c r="B46" s="1">
        <f ca="1">IFERROR(__xludf.DUMMYFUNCTION("""COMPUTED_VALUE"""),98.4)</f>
        <v>98.4</v>
      </c>
    </row>
    <row r="47" spans="1:2" ht="13.2" x14ac:dyDescent="0.25">
      <c r="A47" s="2">
        <f ca="1">IFERROR(__xludf.DUMMYFUNCTION("""COMPUTED_VALUE"""),45601.6666666666)</f>
        <v>45601.666666666599</v>
      </c>
      <c r="B47" s="1">
        <f ca="1">IFERROR(__xludf.DUMMYFUNCTION("""COMPUTED_VALUE"""),99.21)</f>
        <v>99.21</v>
      </c>
    </row>
    <row r="48" spans="1:2" ht="13.2" x14ac:dyDescent="0.25">
      <c r="A48" s="2">
        <f ca="1">IFERROR(__xludf.DUMMYFUNCTION("""COMPUTED_VALUE"""),45602.6666666666)</f>
        <v>45602.666666666599</v>
      </c>
      <c r="B48" s="1">
        <f ca="1">IFERROR(__xludf.DUMMYFUNCTION("""COMPUTED_VALUE"""),96.73)</f>
        <v>96.73</v>
      </c>
    </row>
    <row r="49" spans="1:2" ht="13.2" x14ac:dyDescent="0.25">
      <c r="A49" s="2">
        <f ca="1">IFERROR(__xludf.DUMMYFUNCTION("""COMPUTED_VALUE"""),45603.6666666666)</f>
        <v>45603.666666666599</v>
      </c>
      <c r="B49" s="1">
        <f ca="1">IFERROR(__xludf.DUMMYFUNCTION("""COMPUTED_VALUE"""),100.14)</f>
        <v>100.14</v>
      </c>
    </row>
    <row r="50" spans="1:2" ht="13.2" x14ac:dyDescent="0.25">
      <c r="A50" s="2">
        <f ca="1">IFERROR(__xludf.DUMMYFUNCTION("""COMPUTED_VALUE"""),45604.6666666666)</f>
        <v>45604.666666666599</v>
      </c>
      <c r="B50" s="1">
        <f ca="1">IFERROR(__xludf.DUMMYFUNCTION("""COMPUTED_VALUE"""),94.19)</f>
        <v>94.19</v>
      </c>
    </row>
    <row r="51" spans="1:2" ht="13.2" x14ac:dyDescent="0.25">
      <c r="A51" s="2">
        <f ca="1">IFERROR(__xludf.DUMMYFUNCTION("""COMPUTED_VALUE"""),45607.6666666666)</f>
        <v>45607.666666666599</v>
      </c>
      <c r="B51" s="1">
        <f ca="1">IFERROR(__xludf.DUMMYFUNCTION("""COMPUTED_VALUE"""),95.42)</f>
        <v>95.42</v>
      </c>
    </row>
    <row r="52" spans="1:2" ht="13.2" x14ac:dyDescent="0.25">
      <c r="A52" s="2">
        <f ca="1">IFERROR(__xludf.DUMMYFUNCTION("""COMPUTED_VALUE"""),45608.6666666666)</f>
        <v>45608.666666666599</v>
      </c>
      <c r="B52" s="1">
        <f ca="1">IFERROR(__xludf.DUMMYFUNCTION("""COMPUTED_VALUE"""),91.78)</f>
        <v>91.78</v>
      </c>
    </row>
    <row r="53" spans="1:2" ht="13.2" x14ac:dyDescent="0.25">
      <c r="A53" s="2">
        <f ca="1">IFERROR(__xludf.DUMMYFUNCTION("""COMPUTED_VALUE"""),45609.6666666666)</f>
        <v>45609.666666666599</v>
      </c>
      <c r="B53" s="1">
        <f ca="1">IFERROR(__xludf.DUMMYFUNCTION("""COMPUTED_VALUE"""),92)</f>
        <v>92</v>
      </c>
    </row>
    <row r="54" spans="1:2" ht="13.2" x14ac:dyDescent="0.25">
      <c r="A54" s="2">
        <f ca="1">IFERROR(__xludf.DUMMYFUNCTION("""COMPUTED_VALUE"""),45610.6666666666)</f>
        <v>45610.666666666599</v>
      </c>
      <c r="B54" s="1">
        <f ca="1">IFERROR(__xludf.DUMMYFUNCTION("""COMPUTED_VALUE"""),90.58)</f>
        <v>90.58</v>
      </c>
    </row>
    <row r="55" spans="1:2" ht="13.2" x14ac:dyDescent="0.25">
      <c r="A55" s="2">
        <f ca="1">IFERROR(__xludf.DUMMYFUNCTION("""COMPUTED_VALUE"""),45611.6666666666)</f>
        <v>45611.666666666599</v>
      </c>
      <c r="B55" s="1">
        <f ca="1">IFERROR(__xludf.DUMMYFUNCTION("""COMPUTED_VALUE"""),88.59)</f>
        <v>88.59</v>
      </c>
    </row>
    <row r="56" spans="1:2" ht="13.2" x14ac:dyDescent="0.25">
      <c r="A56" s="2">
        <f ca="1">IFERROR(__xludf.DUMMYFUNCTION("""COMPUTED_VALUE"""),45614.6666666666)</f>
        <v>45614.666666666599</v>
      </c>
      <c r="B56" s="1">
        <f ca="1">IFERROR(__xludf.DUMMYFUNCTION("""COMPUTED_VALUE"""),89.35)</f>
        <v>89.35</v>
      </c>
    </row>
    <row r="57" spans="1:2" ht="13.2" x14ac:dyDescent="0.25">
      <c r="A57" s="2">
        <f ca="1">IFERROR(__xludf.DUMMYFUNCTION("""COMPUTED_VALUE"""),45615.6666666666)</f>
        <v>45615.666666666599</v>
      </c>
      <c r="B57" s="1">
        <f ca="1">IFERROR(__xludf.DUMMYFUNCTION("""COMPUTED_VALUE"""),87.11)</f>
        <v>87.11</v>
      </c>
    </row>
    <row r="58" spans="1:2" ht="13.2" x14ac:dyDescent="0.25">
      <c r="A58" s="2">
        <f ca="1">IFERROR(__xludf.DUMMYFUNCTION("""COMPUTED_VALUE"""),45616.6666666666)</f>
        <v>45616.666666666599</v>
      </c>
      <c r="B58" s="1">
        <f ca="1">IFERROR(__xludf.DUMMYFUNCTION("""COMPUTED_VALUE"""),86.77)</f>
        <v>86.77</v>
      </c>
    </row>
    <row r="59" spans="1:2" ht="13.2" x14ac:dyDescent="0.25">
      <c r="A59" s="2">
        <f ca="1">IFERROR(__xludf.DUMMYFUNCTION("""COMPUTED_VALUE"""),45617.6666666666)</f>
        <v>45617.666666666599</v>
      </c>
      <c r="B59" s="1">
        <f ca="1">IFERROR(__xludf.DUMMYFUNCTION("""COMPUTED_VALUE"""),85.58)</f>
        <v>85.58</v>
      </c>
    </row>
    <row r="60" spans="1:2" ht="13.2" x14ac:dyDescent="0.25">
      <c r="A60" s="2">
        <f ca="1">IFERROR(__xludf.DUMMYFUNCTION("""COMPUTED_VALUE"""),45618.6666666666)</f>
        <v>45618.666666666599</v>
      </c>
      <c r="B60" s="1">
        <f ca="1">IFERROR(__xludf.DUMMYFUNCTION("""COMPUTED_VALUE"""),83.13)</f>
        <v>83.13</v>
      </c>
    </row>
    <row r="61" spans="1:2" ht="13.2" x14ac:dyDescent="0.25">
      <c r="A61" s="2">
        <f ca="1">IFERROR(__xludf.DUMMYFUNCTION("""COMPUTED_VALUE"""),45621.6666666666)</f>
        <v>45621.666666666599</v>
      </c>
      <c r="B61" s="1">
        <f ca="1">IFERROR(__xludf.DUMMYFUNCTION("""COMPUTED_VALUE"""),85.58)</f>
        <v>85.58</v>
      </c>
    </row>
    <row r="62" spans="1:2" ht="13.2" x14ac:dyDescent="0.25">
      <c r="A62" s="2">
        <f ca="1">IFERROR(__xludf.DUMMYFUNCTION("""COMPUTED_VALUE"""),45622.6666666666)</f>
        <v>45622.666666666599</v>
      </c>
      <c r="B62" s="1">
        <f ca="1">IFERROR(__xludf.DUMMYFUNCTION("""COMPUTED_VALUE"""),85.18)</f>
        <v>85.18</v>
      </c>
    </row>
    <row r="63" spans="1:2" ht="13.2" x14ac:dyDescent="0.25">
      <c r="A63" s="2">
        <f ca="1">IFERROR(__xludf.DUMMYFUNCTION("""COMPUTED_VALUE"""),45623.6666666666)</f>
        <v>45623.666666666599</v>
      </c>
      <c r="B63" s="1">
        <f ca="1">IFERROR(__xludf.DUMMYFUNCTION("""COMPUTED_VALUE"""),86.59)</f>
        <v>86.59</v>
      </c>
    </row>
    <row r="64" spans="1:2" ht="13.2" x14ac:dyDescent="0.25">
      <c r="A64" s="2">
        <f ca="1">IFERROR(__xludf.DUMMYFUNCTION("""COMPUTED_VALUE"""),45625.5416666666)</f>
        <v>45625.541666666599</v>
      </c>
      <c r="B64" s="1">
        <f ca="1">IFERROR(__xludf.DUMMYFUNCTION("""COMPUTED_VALUE"""),87.37)</f>
        <v>87.37</v>
      </c>
    </row>
    <row r="65" spans="1:2" ht="13.2" x14ac:dyDescent="0.25">
      <c r="A65" s="2">
        <f ca="1">IFERROR(__xludf.DUMMYFUNCTION("""COMPUTED_VALUE"""),45628.6666666666)</f>
        <v>45628.666666666599</v>
      </c>
      <c r="B65" s="1">
        <f ca="1">IFERROR(__xludf.DUMMYFUNCTION("""COMPUTED_VALUE"""),85.95)</f>
        <v>85.95</v>
      </c>
    </row>
    <row r="66" spans="1:2" ht="13.2" x14ac:dyDescent="0.25">
      <c r="A66" s="2">
        <f ca="1">IFERROR(__xludf.DUMMYFUNCTION("""COMPUTED_VALUE"""),45629.6666666666)</f>
        <v>45629.666666666599</v>
      </c>
      <c r="B66" s="1">
        <f ca="1">IFERROR(__xludf.DUMMYFUNCTION("""COMPUTED_VALUE"""),85.68)</f>
        <v>85.68</v>
      </c>
    </row>
    <row r="67" spans="1:2" ht="13.2" x14ac:dyDescent="0.25">
      <c r="A67" s="2">
        <f ca="1">IFERROR(__xludf.DUMMYFUNCTION("""COMPUTED_VALUE"""),45630.6666666666)</f>
        <v>45630.666666666599</v>
      </c>
      <c r="B67" s="1">
        <f ca="1">IFERROR(__xludf.DUMMYFUNCTION("""COMPUTED_VALUE"""),84.93)</f>
        <v>84.93</v>
      </c>
    </row>
    <row r="68" spans="1:2" ht="13.2" x14ac:dyDescent="0.25">
      <c r="A68" s="2">
        <f ca="1">IFERROR(__xludf.DUMMYFUNCTION("""COMPUTED_VALUE"""),45631.6666666666)</f>
        <v>45631.666666666599</v>
      </c>
      <c r="B68" s="1">
        <f ca="1">IFERROR(__xludf.DUMMYFUNCTION("""COMPUTED_VALUE"""),84.15)</f>
        <v>84.15</v>
      </c>
    </row>
    <row r="69" spans="1:2" ht="13.2" x14ac:dyDescent="0.25">
      <c r="A69" s="2">
        <f ca="1">IFERROR(__xludf.DUMMYFUNCTION("""COMPUTED_VALUE"""),45632.6666666666)</f>
        <v>45632.666666666599</v>
      </c>
      <c r="B69" s="1">
        <f ca="1">IFERROR(__xludf.DUMMYFUNCTION("""COMPUTED_VALUE"""),85.93)</f>
        <v>85.93</v>
      </c>
    </row>
    <row r="70" spans="1:2" ht="13.2" x14ac:dyDescent="0.25">
      <c r="A70" s="2">
        <f ca="1">IFERROR(__xludf.DUMMYFUNCTION("""COMPUTED_VALUE"""),45635.6666666666)</f>
        <v>45635.666666666599</v>
      </c>
      <c r="B70" s="1">
        <f ca="1">IFERROR(__xludf.DUMMYFUNCTION("""COMPUTED_VALUE"""),92.32)</f>
        <v>92.32</v>
      </c>
    </row>
    <row r="71" spans="1:2" ht="13.2" x14ac:dyDescent="0.25">
      <c r="A71" s="2">
        <f ca="1">IFERROR(__xludf.DUMMYFUNCTION("""COMPUTED_VALUE"""),45636.6666666666)</f>
        <v>45636.666666666599</v>
      </c>
      <c r="B71" s="1">
        <f ca="1">IFERROR(__xludf.DUMMYFUNCTION("""COMPUTED_VALUE"""),89.83)</f>
        <v>89.83</v>
      </c>
    </row>
    <row r="72" spans="1:2" ht="13.2" x14ac:dyDescent="0.25">
      <c r="A72" s="2">
        <f ca="1">IFERROR(__xludf.DUMMYFUNCTION("""COMPUTED_VALUE"""),45637.6666666666)</f>
        <v>45637.666666666599</v>
      </c>
      <c r="B72" s="1">
        <f ca="1">IFERROR(__xludf.DUMMYFUNCTION("""COMPUTED_VALUE"""),88.98)</f>
        <v>88.98</v>
      </c>
    </row>
    <row r="73" spans="1:2" ht="13.2" x14ac:dyDescent="0.25">
      <c r="A73" s="2">
        <f ca="1">IFERROR(__xludf.DUMMYFUNCTION("""COMPUTED_VALUE"""),45638.6666666666)</f>
        <v>45638.666666666599</v>
      </c>
      <c r="B73" s="1">
        <f ca="1">IFERROR(__xludf.DUMMYFUNCTION("""COMPUTED_VALUE"""),89.23)</f>
        <v>89.23</v>
      </c>
    </row>
    <row r="74" spans="1:2" ht="13.2" x14ac:dyDescent="0.25">
      <c r="A74" s="2">
        <f ca="1">IFERROR(__xludf.DUMMYFUNCTION("""COMPUTED_VALUE"""),45639.6666666666)</f>
        <v>45639.666666666599</v>
      </c>
      <c r="B74" s="1">
        <f ca="1">IFERROR(__xludf.DUMMYFUNCTION("""COMPUTED_VALUE"""),87.82)</f>
        <v>87.82</v>
      </c>
    </row>
    <row r="75" spans="1:2" ht="13.2" x14ac:dyDescent="0.25">
      <c r="A75" s="2">
        <f ca="1">IFERROR(__xludf.DUMMYFUNCTION("""COMPUTED_VALUE"""),45642.6666666666)</f>
        <v>45642.666666666599</v>
      </c>
      <c r="B75" s="1">
        <f ca="1">IFERROR(__xludf.DUMMYFUNCTION("""COMPUTED_VALUE"""),86.06)</f>
        <v>86.06</v>
      </c>
    </row>
    <row r="76" spans="1:2" ht="13.2" x14ac:dyDescent="0.25">
      <c r="A76" s="2">
        <f ca="1">IFERROR(__xludf.DUMMYFUNCTION("""COMPUTED_VALUE"""),45643.6666666666)</f>
        <v>45643.666666666599</v>
      </c>
      <c r="B76" s="1">
        <f ca="1">IFERROR(__xludf.DUMMYFUNCTION("""COMPUTED_VALUE"""),87.15)</f>
        <v>87.15</v>
      </c>
    </row>
    <row r="77" spans="1:2" ht="13.2" x14ac:dyDescent="0.25">
      <c r="A77" s="2">
        <f ca="1">IFERROR(__xludf.DUMMYFUNCTION("""COMPUTED_VALUE"""),45644.6666666666)</f>
        <v>45644.666666666599</v>
      </c>
      <c r="B77" s="1">
        <f ca="1">IFERROR(__xludf.DUMMYFUNCTION("""COMPUTED_VALUE"""),85)</f>
        <v>85</v>
      </c>
    </row>
    <row r="78" spans="1:2" ht="13.2" x14ac:dyDescent="0.25">
      <c r="A78" s="2">
        <f ca="1">IFERROR(__xludf.DUMMYFUNCTION("""COMPUTED_VALUE"""),45645.6666666666)</f>
        <v>45645.666666666599</v>
      </c>
      <c r="B78" s="1">
        <f ca="1">IFERROR(__xludf.DUMMYFUNCTION("""COMPUTED_VALUE"""),84.31)</f>
        <v>84.31</v>
      </c>
    </row>
    <row r="79" spans="1:2" ht="13.2" x14ac:dyDescent="0.25">
      <c r="A79" s="2">
        <f ca="1">IFERROR(__xludf.DUMMYFUNCTION("""COMPUTED_VALUE"""),45646.6666666666)</f>
        <v>45646.666666666599</v>
      </c>
      <c r="B79" s="1">
        <f ca="1">IFERROR(__xludf.DUMMYFUNCTION("""COMPUTED_VALUE"""),82.28)</f>
        <v>82.28</v>
      </c>
    </row>
    <row r="80" spans="1:2" ht="13.2" x14ac:dyDescent="0.25">
      <c r="A80" s="2">
        <f ca="1">IFERROR(__xludf.DUMMYFUNCTION("""COMPUTED_VALUE"""),45649.6666666666)</f>
        <v>45649.666666666599</v>
      </c>
      <c r="B80" s="1">
        <f ca="1">IFERROR(__xludf.DUMMYFUNCTION("""COMPUTED_VALUE"""),85.14)</f>
        <v>85.14</v>
      </c>
    </row>
    <row r="81" spans="1:2" ht="13.2" x14ac:dyDescent="0.25">
      <c r="A81" s="2">
        <f ca="1">IFERROR(__xludf.DUMMYFUNCTION("""COMPUTED_VALUE"""),45650.5416666666)</f>
        <v>45650.541666666599</v>
      </c>
      <c r="B81" s="1">
        <f ca="1">IFERROR(__xludf.DUMMYFUNCTION("""COMPUTED_VALUE"""),85.52)</f>
        <v>85.52</v>
      </c>
    </row>
    <row r="82" spans="1:2" ht="13.2" x14ac:dyDescent="0.25">
      <c r="A82" s="2">
        <f ca="1">IFERROR(__xludf.DUMMYFUNCTION("""COMPUTED_VALUE"""),45652.6666666666)</f>
        <v>45652.666666666599</v>
      </c>
      <c r="B82" s="1">
        <f ca="1">IFERROR(__xludf.DUMMYFUNCTION("""COMPUTED_VALUE"""),86.08)</f>
        <v>86.08</v>
      </c>
    </row>
    <row r="83" spans="1:2" ht="13.2" x14ac:dyDescent="0.25">
      <c r="A83" s="2">
        <f ca="1">IFERROR(__xludf.DUMMYFUNCTION("""COMPUTED_VALUE"""),45653.6666666666)</f>
        <v>45653.666666666599</v>
      </c>
      <c r="B83" s="1">
        <f ca="1">IFERROR(__xludf.DUMMYFUNCTION("""COMPUTED_VALUE"""),85.06)</f>
        <v>85.06</v>
      </c>
    </row>
    <row r="84" spans="1:2" ht="13.2" x14ac:dyDescent="0.25">
      <c r="A84" s="2">
        <f ca="1">IFERROR(__xludf.DUMMYFUNCTION("""COMPUTED_VALUE"""),45656.6666666666)</f>
        <v>45656.666666666599</v>
      </c>
      <c r="B84" s="1">
        <f ca="1">IFERROR(__xludf.DUMMYFUNCTION("""COMPUTED_VALUE"""),84.13)</f>
        <v>84.13</v>
      </c>
    </row>
    <row r="85" spans="1:2" ht="13.2" x14ac:dyDescent="0.25">
      <c r="A85" s="2">
        <f ca="1">IFERROR(__xludf.DUMMYFUNCTION("""COMPUTED_VALUE"""),45657.6666666666)</f>
        <v>45657.666666666599</v>
      </c>
      <c r="B85" s="1">
        <f ca="1">IFERROR(__xludf.DUMMYFUNCTION("""COMPUTED_VALUE"""),84.79)</f>
        <v>84.79</v>
      </c>
    </row>
    <row r="86" spans="1:2" ht="13.2" x14ac:dyDescent="0.25">
      <c r="A86" s="2">
        <f ca="1">IFERROR(__xludf.DUMMYFUNCTION("""COMPUTED_VALUE"""),45659.6666666666)</f>
        <v>45659.666666666599</v>
      </c>
      <c r="B86" s="1">
        <f ca="1">IFERROR(__xludf.DUMMYFUNCTION("""COMPUTED_VALUE"""),84.95)</f>
        <v>84.95</v>
      </c>
    </row>
    <row r="87" spans="1:2" ht="13.2" x14ac:dyDescent="0.25">
      <c r="A87" s="2">
        <f ca="1">IFERROR(__xludf.DUMMYFUNCTION("""COMPUTED_VALUE"""),45660.6666666666)</f>
        <v>45660.666666666599</v>
      </c>
      <c r="B87" s="1">
        <f ca="1">IFERROR(__xludf.DUMMYFUNCTION("""COMPUTED_VALUE"""),85.54)</f>
        <v>85.54</v>
      </c>
    </row>
    <row r="88" spans="1:2" ht="13.2" x14ac:dyDescent="0.25">
      <c r="A88" s="2">
        <f ca="1">IFERROR(__xludf.DUMMYFUNCTION("""COMPUTED_VALUE"""),45663.6666666666)</f>
        <v>45663.666666666599</v>
      </c>
      <c r="B88" s="1">
        <f ca="1">IFERROR(__xludf.DUMMYFUNCTION("""COMPUTED_VALUE"""),85.52)</f>
        <v>85.52</v>
      </c>
    </row>
    <row r="89" spans="1:2" ht="13.2" x14ac:dyDescent="0.25">
      <c r="A89" s="2">
        <f ca="1">IFERROR(__xludf.DUMMYFUNCTION("""COMPUTED_VALUE"""),45664.6666666666)</f>
        <v>45664.666666666599</v>
      </c>
      <c r="B89" s="1">
        <f ca="1">IFERROR(__xludf.DUMMYFUNCTION("""COMPUTED_VALUE"""),84.48)</f>
        <v>84.48</v>
      </c>
    </row>
    <row r="90" spans="1:2" ht="13.2" x14ac:dyDescent="0.25">
      <c r="A90" s="2">
        <f ca="1">IFERROR(__xludf.DUMMYFUNCTION("""COMPUTED_VALUE"""),45665.6666666666)</f>
        <v>45665.666666666599</v>
      </c>
      <c r="B90" s="1">
        <f ca="1">IFERROR(__xludf.DUMMYFUNCTION("""COMPUTED_VALUE"""),83.69)</f>
        <v>83.69</v>
      </c>
    </row>
    <row r="91" spans="1:2" ht="13.2" x14ac:dyDescent="0.25">
      <c r="A91" s="2">
        <f ca="1">IFERROR(__xludf.DUMMYFUNCTION("""COMPUTED_VALUE"""),45667.6666666666)</f>
        <v>45667.666666666599</v>
      </c>
      <c r="B91" s="1">
        <f ca="1">IFERROR(__xludf.DUMMYFUNCTION("""COMPUTED_VALUE"""),80.53)</f>
        <v>80.53</v>
      </c>
    </row>
    <row r="92" spans="1:2" ht="13.2" x14ac:dyDescent="0.25">
      <c r="A92" s="2">
        <f ca="1">IFERROR(__xludf.DUMMYFUNCTION("""COMPUTED_VALUE"""),45670.6666666666)</f>
        <v>45670.666666666599</v>
      </c>
      <c r="B92" s="1">
        <f ca="1">IFERROR(__xludf.DUMMYFUNCTION("""COMPUTED_VALUE"""),80.54)</f>
        <v>80.540000000000006</v>
      </c>
    </row>
    <row r="93" spans="1:2" ht="13.2" x14ac:dyDescent="0.25">
      <c r="A93" s="2">
        <f ca="1">IFERROR(__xludf.DUMMYFUNCTION("""COMPUTED_VALUE"""),45671.6666666666)</f>
        <v>45671.666666666599</v>
      </c>
      <c r="B93" s="1">
        <f ca="1">IFERROR(__xludf.DUMMYFUNCTION("""COMPUTED_VALUE"""),81.68)</f>
        <v>81.680000000000007</v>
      </c>
    </row>
    <row r="94" spans="1:2" ht="13.2" x14ac:dyDescent="0.25">
      <c r="A94" s="2">
        <f ca="1">IFERROR(__xludf.DUMMYFUNCTION("""COMPUTED_VALUE"""),45672.6666666666)</f>
        <v>45672.666666666599</v>
      </c>
      <c r="B94" s="1">
        <f ca="1">IFERROR(__xludf.DUMMYFUNCTION("""COMPUTED_VALUE"""),82.44)</f>
        <v>82.44</v>
      </c>
    </row>
    <row r="95" spans="1:2" ht="13.2" x14ac:dyDescent="0.25">
      <c r="A95" s="2">
        <f ca="1">IFERROR(__xludf.DUMMYFUNCTION("""COMPUTED_VALUE"""),45673.6666666666)</f>
        <v>45673.666666666599</v>
      </c>
      <c r="B95" s="1">
        <f ca="1">IFERROR(__xludf.DUMMYFUNCTION("""COMPUTED_VALUE"""),82.43)</f>
        <v>82.43</v>
      </c>
    </row>
    <row r="96" spans="1:2" ht="13.2" x14ac:dyDescent="0.25">
      <c r="A96" s="2">
        <f ca="1">IFERROR(__xludf.DUMMYFUNCTION("""COMPUTED_VALUE"""),45674.6666666666)</f>
        <v>45674.666666666599</v>
      </c>
      <c r="B96" s="1">
        <f ca="1">IFERROR(__xludf.DUMMYFUNCTION("""COMPUTED_VALUE"""),85.12)</f>
        <v>85.12</v>
      </c>
    </row>
    <row r="97" spans="1:2" ht="13.2" x14ac:dyDescent="0.25">
      <c r="A97" s="2">
        <f ca="1">IFERROR(__xludf.DUMMYFUNCTION("""COMPUTED_VALUE"""),45678.6666666666)</f>
        <v>45678.666666666599</v>
      </c>
      <c r="B97" s="1">
        <f ca="1">IFERROR(__xludf.DUMMYFUNCTION("""COMPUTED_VALUE"""),85.38)</f>
        <v>85.38</v>
      </c>
    </row>
    <row r="98" spans="1:2" ht="13.2" x14ac:dyDescent="0.25">
      <c r="A98" s="2">
        <f ca="1">IFERROR(__xludf.DUMMYFUNCTION("""COMPUTED_VALUE"""),45679.6666666666)</f>
        <v>45679.666666666599</v>
      </c>
      <c r="B98" s="1">
        <f ca="1">IFERROR(__xludf.DUMMYFUNCTION("""COMPUTED_VALUE"""),86.4)</f>
        <v>86.4</v>
      </c>
    </row>
    <row r="99" spans="1:2" ht="13.2" x14ac:dyDescent="0.25">
      <c r="A99" s="2">
        <f ca="1">IFERROR(__xludf.DUMMYFUNCTION("""COMPUTED_VALUE"""),45680.6666666666)</f>
        <v>45680.666666666599</v>
      </c>
      <c r="B99" s="1">
        <f ca="1">IFERROR(__xludf.DUMMYFUNCTION("""COMPUTED_VALUE"""),86.1)</f>
        <v>86.1</v>
      </c>
    </row>
    <row r="100" spans="1:2" ht="13.2" x14ac:dyDescent="0.25">
      <c r="A100" s="2">
        <f ca="1">IFERROR(__xludf.DUMMYFUNCTION("""COMPUTED_VALUE"""),45681.6666666666)</f>
        <v>45681.666666666599</v>
      </c>
      <c r="B100" s="1">
        <f ca="1">IFERROR(__xludf.DUMMYFUNCTION("""COMPUTED_VALUE"""),89.14)</f>
        <v>89.14</v>
      </c>
    </row>
    <row r="101" spans="1:2" ht="13.8" thickBot="1" x14ac:dyDescent="0.3">
      <c r="A101" s="2">
        <f ca="1">IFERROR(__xludf.DUMMYFUNCTION("""COMPUTED_VALUE"""),45684.6666666666)</f>
        <v>45684.666666666599</v>
      </c>
      <c r="B101" s="1">
        <f ca="1">IFERROR(__xludf.DUMMYFUNCTION("""COMPUTED_VALUE"""),89.99)</f>
        <v>89.99</v>
      </c>
    </row>
    <row r="102" spans="1:2" ht="15.75" customHeight="1" thickBot="1" x14ac:dyDescent="0.3">
      <c r="A102" s="2">
        <f ca="1">IFERROR(__xludf.DUMMYFUNCTION("""COMPUTED_VALUE"""),45685.6666666666)</f>
        <v>45685.666666666599</v>
      </c>
      <c r="B102" s="3">
        <v>96.03</v>
      </c>
    </row>
  </sheetData>
  <pageMargins left="0.7" right="0.7" top="0.75" bottom="0.75" header="0.3" footer="0.3"/>
  <ignoredErrors>
    <ignoredError sqref="B6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BABA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Zipeng</cp:lastModifiedBy>
  <dcterms:modified xsi:type="dcterms:W3CDTF">2025-12-26T05:58:37Z</dcterms:modified>
</cp:coreProperties>
</file>