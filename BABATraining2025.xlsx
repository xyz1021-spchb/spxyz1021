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HAOZ\Downloads\"/>
    </mc:Choice>
  </mc:AlternateContent>
  <xr:revisionPtr revIDLastSave="0" documentId="13_ncr:1_{56CA818D-4C55-43B0-84E4-9E99CA1C38B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6" i="1" l="1"/>
  <c r="A166" i="1"/>
  <c r="B165" i="1"/>
  <c r="A165" i="1"/>
  <c r="B164" i="1"/>
  <c r="A164" i="1"/>
  <c r="B163" i="1"/>
  <c r="A163" i="1"/>
  <c r="B162" i="1"/>
  <c r="A162" i="1"/>
  <c r="B161" i="1"/>
  <c r="A161" i="1"/>
  <c r="B160" i="1"/>
  <c r="A160" i="1"/>
  <c r="B159" i="1"/>
  <c r="A159" i="1"/>
  <c r="B158" i="1"/>
  <c r="A158" i="1"/>
  <c r="B157" i="1"/>
  <c r="A157" i="1"/>
  <c r="B156" i="1"/>
  <c r="A156" i="1"/>
  <c r="B155" i="1"/>
  <c r="A155" i="1"/>
  <c r="B154" i="1"/>
  <c r="A154" i="1"/>
  <c r="B153" i="1"/>
  <c r="A153" i="1"/>
  <c r="B152" i="1"/>
  <c r="A152" i="1"/>
  <c r="B151" i="1"/>
  <c r="A151" i="1"/>
  <c r="B150" i="1"/>
  <c r="A150" i="1"/>
  <c r="B149" i="1"/>
  <c r="A149" i="1"/>
  <c r="B148" i="1"/>
  <c r="A148" i="1"/>
  <c r="B147" i="1"/>
  <c r="A147" i="1"/>
  <c r="B146" i="1"/>
  <c r="A146" i="1"/>
  <c r="B145" i="1"/>
  <c r="A145" i="1"/>
  <c r="B144" i="1"/>
  <c r="A144" i="1"/>
  <c r="B143" i="1"/>
  <c r="A143" i="1"/>
  <c r="B142" i="1"/>
  <c r="A142" i="1"/>
  <c r="B141" i="1"/>
  <c r="A141" i="1"/>
  <c r="B140" i="1"/>
  <c r="A140" i="1"/>
  <c r="B139" i="1"/>
  <c r="A139" i="1"/>
  <c r="B138" i="1"/>
  <c r="A138" i="1"/>
  <c r="B137" i="1"/>
  <c r="A137" i="1"/>
  <c r="B136" i="1"/>
  <c r="A136" i="1"/>
  <c r="B135" i="1"/>
  <c r="A135" i="1"/>
  <c r="B134" i="1"/>
  <c r="A134" i="1"/>
  <c r="B133" i="1"/>
  <c r="A133" i="1"/>
  <c r="B132" i="1"/>
  <c r="A132" i="1"/>
  <c r="B131" i="1"/>
  <c r="A131" i="1"/>
  <c r="B130" i="1"/>
  <c r="A130" i="1"/>
  <c r="B129" i="1"/>
  <c r="A129" i="1"/>
  <c r="B128" i="1"/>
  <c r="A128" i="1"/>
  <c r="B127" i="1"/>
  <c r="A127" i="1"/>
  <c r="B126" i="1"/>
  <c r="A126" i="1"/>
  <c r="B125" i="1"/>
  <c r="A125" i="1"/>
  <c r="B124" i="1"/>
  <c r="A124" i="1"/>
  <c r="B123" i="1"/>
  <c r="A123" i="1"/>
  <c r="B122" i="1"/>
  <c r="A122" i="1"/>
  <c r="B121" i="1"/>
  <c r="A121" i="1"/>
  <c r="B120" i="1"/>
  <c r="A120" i="1"/>
  <c r="B119" i="1"/>
  <c r="A119" i="1"/>
  <c r="B118" i="1"/>
  <c r="A118" i="1"/>
  <c r="B117" i="1"/>
  <c r="A117" i="1"/>
  <c r="B116" i="1"/>
  <c r="A116" i="1"/>
  <c r="B115" i="1"/>
  <c r="A115" i="1"/>
  <c r="B114" i="1"/>
  <c r="A114" i="1"/>
  <c r="B113" i="1"/>
  <c r="A113" i="1"/>
  <c r="B112" i="1"/>
  <c r="A112" i="1"/>
  <c r="B111" i="1"/>
  <c r="A111" i="1"/>
  <c r="B110" i="1"/>
  <c r="A110" i="1"/>
  <c r="B109" i="1"/>
  <c r="A109" i="1"/>
  <c r="B108" i="1"/>
  <c r="A108" i="1"/>
  <c r="B107" i="1"/>
  <c r="A107" i="1"/>
  <c r="B106" i="1"/>
  <c r="A106" i="1"/>
  <c r="B105" i="1"/>
  <c r="A105" i="1"/>
  <c r="B104" i="1"/>
  <c r="A104" i="1"/>
  <c r="B103" i="1"/>
  <c r="A103" i="1"/>
  <c r="B102" i="1"/>
  <c r="A102" i="1"/>
  <c r="B101" i="1"/>
  <c r="A101" i="1"/>
  <c r="B100" i="1"/>
  <c r="A100" i="1"/>
  <c r="B99" i="1"/>
  <c r="A99" i="1"/>
  <c r="B98" i="1"/>
  <c r="A98" i="1"/>
  <c r="B97" i="1"/>
  <c r="A97" i="1"/>
  <c r="B96" i="1"/>
  <c r="A96" i="1"/>
  <c r="B95" i="1"/>
  <c r="A95" i="1"/>
  <c r="B94" i="1"/>
  <c r="A94" i="1"/>
  <c r="B93" i="1"/>
  <c r="A93" i="1"/>
  <c r="B92" i="1"/>
  <c r="A92" i="1"/>
  <c r="B91" i="1"/>
  <c r="A91" i="1"/>
  <c r="B90" i="1"/>
  <c r="A90" i="1"/>
  <c r="B89" i="1"/>
  <c r="A89" i="1"/>
  <c r="B88" i="1"/>
  <c r="A88" i="1"/>
  <c r="B87" i="1"/>
  <c r="A87" i="1"/>
  <c r="B86" i="1"/>
  <c r="A86" i="1"/>
  <c r="B85" i="1"/>
  <c r="A85" i="1"/>
  <c r="B84" i="1"/>
  <c r="A84" i="1"/>
  <c r="B83" i="1"/>
  <c r="A83" i="1"/>
  <c r="B82" i="1"/>
  <c r="A82" i="1"/>
  <c r="B81" i="1"/>
  <c r="A81" i="1"/>
  <c r="B80" i="1"/>
  <c r="A80" i="1"/>
  <c r="B79" i="1"/>
  <c r="A79" i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1" i="1"/>
  <c r="A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69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1" width="34.44140625" customWidth="1"/>
    <col min="4" max="4" width="18.21875" customWidth="1"/>
  </cols>
  <sheetData>
    <row r="1" spans="1:4" ht="15.75" customHeight="1" x14ac:dyDescent="0.25">
      <c r="A1" s="1" t="str">
        <f ca="1">IFERROR(__xludf.DUMMYFUNCTION("GOOGLEFINANCE(""BABA"", ""price"", ""1/1/2025"", ""31/8/2025"", ""DAILY"")"),"Date")</f>
        <v>Date</v>
      </c>
      <c r="B1" s="1" t="str">
        <f ca="1">IFERROR(__xludf.DUMMYFUNCTION("""COMPUTED_VALUE"""),"Close")</f>
        <v>Close</v>
      </c>
    </row>
    <row r="2" spans="1:4" x14ac:dyDescent="0.25">
      <c r="A2" s="2">
        <f ca="1">IFERROR(__xludf.DUMMYFUNCTION("""COMPUTED_VALUE"""),45659.6666666666)</f>
        <v>45659.666666666599</v>
      </c>
      <c r="B2" s="1">
        <f ca="1">IFERROR(__xludf.DUMMYFUNCTION("""COMPUTED_VALUE"""),84.95)</f>
        <v>84.95</v>
      </c>
    </row>
    <row r="3" spans="1:4" ht="15.75" customHeight="1" x14ac:dyDescent="0.25">
      <c r="A3" s="2">
        <f ca="1">IFERROR(__xludf.DUMMYFUNCTION("""COMPUTED_VALUE"""),45660.6666666666)</f>
        <v>45660.666666666599</v>
      </c>
      <c r="B3" s="1">
        <f ca="1">IFERROR(__xludf.DUMMYFUNCTION("""COMPUTED_VALUE"""),85.54)</f>
        <v>85.54</v>
      </c>
    </row>
    <row r="4" spans="1:4" x14ac:dyDescent="0.25">
      <c r="A4" s="2">
        <f ca="1">IFERROR(__xludf.DUMMYFUNCTION("""COMPUTED_VALUE"""),45663.6666666666)</f>
        <v>45663.666666666599</v>
      </c>
      <c r="B4" s="1">
        <f ca="1">IFERROR(__xludf.DUMMYFUNCTION("""COMPUTED_VALUE"""),85.52)</f>
        <v>85.52</v>
      </c>
      <c r="D4" s="1"/>
    </row>
    <row r="5" spans="1:4" x14ac:dyDescent="0.25">
      <c r="A5" s="2">
        <f ca="1">IFERROR(__xludf.DUMMYFUNCTION("""COMPUTED_VALUE"""),45664.6666666666)</f>
        <v>45664.666666666599</v>
      </c>
      <c r="B5" s="1">
        <f ca="1">IFERROR(__xludf.DUMMYFUNCTION("""COMPUTED_VALUE"""),84.48)</f>
        <v>84.48</v>
      </c>
      <c r="D5" s="1"/>
    </row>
    <row r="6" spans="1:4" x14ac:dyDescent="0.25">
      <c r="A6" s="2">
        <f ca="1">IFERROR(__xludf.DUMMYFUNCTION("""COMPUTED_VALUE"""),45665.6666666666)</f>
        <v>45665.666666666599</v>
      </c>
      <c r="B6" s="1">
        <f ca="1">IFERROR(__xludf.DUMMYFUNCTION("""COMPUTED_VALUE"""),83.69)</f>
        <v>83.69</v>
      </c>
    </row>
    <row r="7" spans="1:4" x14ac:dyDescent="0.25">
      <c r="A7" s="2">
        <f ca="1">IFERROR(__xludf.DUMMYFUNCTION("""COMPUTED_VALUE"""),45667.6666666666)</f>
        <v>45667.666666666599</v>
      </c>
      <c r="B7" s="1">
        <f ca="1">IFERROR(__xludf.DUMMYFUNCTION("""COMPUTED_VALUE"""),80.53)</f>
        <v>80.53</v>
      </c>
    </row>
    <row r="8" spans="1:4" x14ac:dyDescent="0.25">
      <c r="A8" s="2">
        <f ca="1">IFERROR(__xludf.DUMMYFUNCTION("""COMPUTED_VALUE"""),45670.6666666666)</f>
        <v>45670.666666666599</v>
      </c>
      <c r="B8" s="1">
        <f ca="1">IFERROR(__xludf.DUMMYFUNCTION("""COMPUTED_VALUE"""),80.54)</f>
        <v>80.540000000000006</v>
      </c>
    </row>
    <row r="9" spans="1:4" x14ac:dyDescent="0.25">
      <c r="A9" s="2">
        <f ca="1">IFERROR(__xludf.DUMMYFUNCTION("""COMPUTED_VALUE"""),45671.6666666666)</f>
        <v>45671.666666666599</v>
      </c>
      <c r="B9" s="1">
        <f ca="1">IFERROR(__xludf.DUMMYFUNCTION("""COMPUTED_VALUE"""),81.68)</f>
        <v>81.680000000000007</v>
      </c>
    </row>
    <row r="10" spans="1:4" x14ac:dyDescent="0.25">
      <c r="A10" s="2">
        <f ca="1">IFERROR(__xludf.DUMMYFUNCTION("""COMPUTED_VALUE"""),45672.6666666666)</f>
        <v>45672.666666666599</v>
      </c>
      <c r="B10" s="1">
        <f ca="1">IFERROR(__xludf.DUMMYFUNCTION("""COMPUTED_VALUE"""),82.44)</f>
        <v>82.44</v>
      </c>
    </row>
    <row r="11" spans="1:4" x14ac:dyDescent="0.25">
      <c r="A11" s="2">
        <f ca="1">IFERROR(__xludf.DUMMYFUNCTION("""COMPUTED_VALUE"""),45673.6666666666)</f>
        <v>45673.666666666599</v>
      </c>
      <c r="B11" s="1">
        <f ca="1">IFERROR(__xludf.DUMMYFUNCTION("""COMPUTED_VALUE"""),82.43)</f>
        <v>82.43</v>
      </c>
    </row>
    <row r="12" spans="1:4" x14ac:dyDescent="0.25">
      <c r="A12" s="2">
        <f ca="1">IFERROR(__xludf.DUMMYFUNCTION("""COMPUTED_VALUE"""),45674.6666666666)</f>
        <v>45674.666666666599</v>
      </c>
      <c r="B12" s="1">
        <f ca="1">IFERROR(__xludf.DUMMYFUNCTION("""COMPUTED_VALUE"""),85.12)</f>
        <v>85.12</v>
      </c>
    </row>
    <row r="13" spans="1:4" x14ac:dyDescent="0.25">
      <c r="A13" s="2">
        <f ca="1">IFERROR(__xludf.DUMMYFUNCTION("""COMPUTED_VALUE"""),45678.6666666666)</f>
        <v>45678.666666666599</v>
      </c>
      <c r="B13" s="1">
        <f ca="1">IFERROR(__xludf.DUMMYFUNCTION("""COMPUTED_VALUE"""),85.38)</f>
        <v>85.38</v>
      </c>
    </row>
    <row r="14" spans="1:4" x14ac:dyDescent="0.25">
      <c r="A14" s="2">
        <f ca="1">IFERROR(__xludf.DUMMYFUNCTION("""COMPUTED_VALUE"""),45679.6666666666)</f>
        <v>45679.666666666599</v>
      </c>
      <c r="B14" s="1">
        <f ca="1">IFERROR(__xludf.DUMMYFUNCTION("""COMPUTED_VALUE"""),86.4)</f>
        <v>86.4</v>
      </c>
    </row>
    <row r="15" spans="1:4" x14ac:dyDescent="0.25">
      <c r="A15" s="2">
        <f ca="1">IFERROR(__xludf.DUMMYFUNCTION("""COMPUTED_VALUE"""),45680.6666666666)</f>
        <v>45680.666666666599</v>
      </c>
      <c r="B15" s="1">
        <f ca="1">IFERROR(__xludf.DUMMYFUNCTION("""COMPUTED_VALUE"""),86.1)</f>
        <v>86.1</v>
      </c>
    </row>
    <row r="16" spans="1:4" x14ac:dyDescent="0.25">
      <c r="A16" s="2">
        <f ca="1">IFERROR(__xludf.DUMMYFUNCTION("""COMPUTED_VALUE"""),45681.6666666666)</f>
        <v>45681.666666666599</v>
      </c>
      <c r="B16" s="1">
        <f ca="1">IFERROR(__xludf.DUMMYFUNCTION("""COMPUTED_VALUE"""),89.14)</f>
        <v>89.14</v>
      </c>
    </row>
    <row r="17" spans="1:2" x14ac:dyDescent="0.25">
      <c r="A17" s="2">
        <f ca="1">IFERROR(__xludf.DUMMYFUNCTION("""COMPUTED_VALUE"""),45684.6666666666)</f>
        <v>45684.666666666599</v>
      </c>
      <c r="B17" s="1">
        <f ca="1">IFERROR(__xludf.DUMMYFUNCTION("""COMPUTED_VALUE"""),89.99)</f>
        <v>89.99</v>
      </c>
    </row>
    <row r="18" spans="1:2" x14ac:dyDescent="0.25">
      <c r="A18" s="2">
        <f ca="1">IFERROR(__xludf.DUMMYFUNCTION("""COMPUTED_VALUE"""),45685.6666666666)</f>
        <v>45685.666666666599</v>
      </c>
      <c r="B18" s="1">
        <f ca="1">IFERROR(__xludf.DUMMYFUNCTION("""COMPUTED_VALUE"""),96.03)</f>
        <v>96.03</v>
      </c>
    </row>
    <row r="19" spans="1:2" x14ac:dyDescent="0.25">
      <c r="A19" s="2">
        <f ca="1">IFERROR(__xludf.DUMMYFUNCTION("""COMPUTED_VALUE"""),45686.6666666666)</f>
        <v>45686.666666666599</v>
      </c>
      <c r="B19" s="1">
        <f ca="1">IFERROR(__xludf.DUMMYFUNCTION("""COMPUTED_VALUE"""),96.72)</f>
        <v>96.72</v>
      </c>
    </row>
    <row r="20" spans="1:2" x14ac:dyDescent="0.25">
      <c r="A20" s="2">
        <f ca="1">IFERROR(__xludf.DUMMYFUNCTION("""COMPUTED_VALUE"""),45687.6666666666)</f>
        <v>45687.666666666599</v>
      </c>
      <c r="B20" s="1">
        <f ca="1">IFERROR(__xludf.DUMMYFUNCTION("""COMPUTED_VALUE"""),102.74)</f>
        <v>102.74</v>
      </c>
    </row>
    <row r="21" spans="1:2" x14ac:dyDescent="0.25">
      <c r="A21" s="2">
        <f ca="1">IFERROR(__xludf.DUMMYFUNCTION("""COMPUTED_VALUE"""),45688.6666666666)</f>
        <v>45688.666666666599</v>
      </c>
      <c r="B21" s="1">
        <f ca="1">IFERROR(__xludf.DUMMYFUNCTION("""COMPUTED_VALUE"""),98.84)</f>
        <v>98.84</v>
      </c>
    </row>
    <row r="22" spans="1:2" x14ac:dyDescent="0.25">
      <c r="A22" s="2">
        <f ca="1">IFERROR(__xludf.DUMMYFUNCTION("""COMPUTED_VALUE"""),45691.6666666666)</f>
        <v>45691.666666666599</v>
      </c>
      <c r="B22" s="1">
        <f ca="1">IFERROR(__xludf.DUMMYFUNCTION("""COMPUTED_VALUE"""),98.61)</f>
        <v>98.61</v>
      </c>
    </row>
    <row r="23" spans="1:2" x14ac:dyDescent="0.25">
      <c r="A23" s="2">
        <f ca="1">IFERROR(__xludf.DUMMYFUNCTION("""COMPUTED_VALUE"""),45692.6666666666)</f>
        <v>45692.666666666599</v>
      </c>
      <c r="B23" s="1">
        <f ca="1">IFERROR(__xludf.DUMMYFUNCTION("""COMPUTED_VALUE"""),102.35)</f>
        <v>102.35</v>
      </c>
    </row>
    <row r="24" spans="1:2" x14ac:dyDescent="0.25">
      <c r="A24" s="2">
        <f ca="1">IFERROR(__xludf.DUMMYFUNCTION("""COMPUTED_VALUE"""),45693.6666666666)</f>
        <v>45693.666666666599</v>
      </c>
      <c r="B24" s="1">
        <f ca="1">IFERROR(__xludf.DUMMYFUNCTION("""COMPUTED_VALUE"""),99.28)</f>
        <v>99.28</v>
      </c>
    </row>
    <row r="25" spans="1:2" x14ac:dyDescent="0.25">
      <c r="A25" s="2">
        <f ca="1">IFERROR(__xludf.DUMMYFUNCTION("""COMPUTED_VALUE"""),45694.6666666666)</f>
        <v>45694.666666666599</v>
      </c>
      <c r="B25" s="1">
        <f ca="1">IFERROR(__xludf.DUMMYFUNCTION("""COMPUTED_VALUE"""),100.38)</f>
        <v>100.38</v>
      </c>
    </row>
    <row r="26" spans="1:2" x14ac:dyDescent="0.25">
      <c r="A26" s="2">
        <f ca="1">IFERROR(__xludf.DUMMYFUNCTION("""COMPUTED_VALUE"""),45695.6666666666)</f>
        <v>45695.666666666599</v>
      </c>
      <c r="B26" s="1">
        <f ca="1">IFERROR(__xludf.DUMMYFUNCTION("""COMPUTED_VALUE"""),103.51)</f>
        <v>103.51</v>
      </c>
    </row>
    <row r="27" spans="1:2" x14ac:dyDescent="0.25">
      <c r="A27" s="2">
        <f ca="1">IFERROR(__xludf.DUMMYFUNCTION("""COMPUTED_VALUE"""),45698.6666666666)</f>
        <v>45698.666666666599</v>
      </c>
      <c r="B27" s="1">
        <f ca="1">IFERROR(__xludf.DUMMYFUNCTION("""COMPUTED_VALUE"""),111.32)</f>
        <v>111.32</v>
      </c>
    </row>
    <row r="28" spans="1:2" x14ac:dyDescent="0.25">
      <c r="A28" s="2">
        <f ca="1">IFERROR(__xludf.DUMMYFUNCTION("""COMPUTED_VALUE"""),45699.6666666666)</f>
        <v>45699.666666666599</v>
      </c>
      <c r="B28" s="1">
        <f ca="1">IFERROR(__xludf.DUMMYFUNCTION("""COMPUTED_VALUE"""),112.78)</f>
        <v>112.78</v>
      </c>
    </row>
    <row r="29" spans="1:2" x14ac:dyDescent="0.25">
      <c r="A29" s="2">
        <f ca="1">IFERROR(__xludf.DUMMYFUNCTION("""COMPUTED_VALUE"""),45700.6666666666)</f>
        <v>45700.666666666599</v>
      </c>
      <c r="B29" s="1">
        <f ca="1">IFERROR(__xludf.DUMMYFUNCTION("""COMPUTED_VALUE"""),118.33)</f>
        <v>118.33</v>
      </c>
    </row>
    <row r="30" spans="1:2" x14ac:dyDescent="0.25">
      <c r="A30" s="2">
        <f ca="1">IFERROR(__xludf.DUMMYFUNCTION("""COMPUTED_VALUE"""),45701.6666666666)</f>
        <v>45701.666666666599</v>
      </c>
      <c r="B30" s="1">
        <f ca="1">IFERROR(__xludf.DUMMYFUNCTION("""COMPUTED_VALUE"""),119.54)</f>
        <v>119.54</v>
      </c>
    </row>
    <row r="31" spans="1:2" x14ac:dyDescent="0.25">
      <c r="A31" s="2">
        <f ca="1">IFERROR(__xludf.DUMMYFUNCTION("""COMPUTED_VALUE"""),45702.6666666666)</f>
        <v>45702.666666666599</v>
      </c>
      <c r="B31" s="1">
        <f ca="1">IFERROR(__xludf.DUMMYFUNCTION("""COMPUTED_VALUE"""),124.73)</f>
        <v>124.73</v>
      </c>
    </row>
    <row r="32" spans="1:2" x14ac:dyDescent="0.25">
      <c r="A32" s="2">
        <f ca="1">IFERROR(__xludf.DUMMYFUNCTION("""COMPUTED_VALUE"""),45706.6666666666)</f>
        <v>45706.666666666599</v>
      </c>
      <c r="B32" s="1">
        <f ca="1">IFERROR(__xludf.DUMMYFUNCTION("""COMPUTED_VALUE"""),126.9)</f>
        <v>126.9</v>
      </c>
    </row>
    <row r="33" spans="1:2" x14ac:dyDescent="0.25">
      <c r="A33" s="2">
        <f ca="1">IFERROR(__xludf.DUMMYFUNCTION("""COMPUTED_VALUE"""),45707.6666666666)</f>
        <v>45707.666666666599</v>
      </c>
      <c r="B33" s="1">
        <f ca="1">IFERROR(__xludf.DUMMYFUNCTION("""COMPUTED_VALUE"""),125.79)</f>
        <v>125.79</v>
      </c>
    </row>
    <row r="34" spans="1:2" x14ac:dyDescent="0.25">
      <c r="A34" s="2">
        <f ca="1">IFERROR(__xludf.DUMMYFUNCTION("""COMPUTED_VALUE"""),45708.6666666666)</f>
        <v>45708.666666666599</v>
      </c>
      <c r="B34" s="1">
        <f ca="1">IFERROR(__xludf.DUMMYFUNCTION("""COMPUTED_VALUE"""),135.97)</f>
        <v>135.97</v>
      </c>
    </row>
    <row r="35" spans="1:2" x14ac:dyDescent="0.25">
      <c r="A35" s="2">
        <f ca="1">IFERROR(__xludf.DUMMYFUNCTION("""COMPUTED_VALUE"""),45709.6666666666)</f>
        <v>45709.666666666599</v>
      </c>
      <c r="B35" s="1">
        <f ca="1">IFERROR(__xludf.DUMMYFUNCTION("""COMPUTED_VALUE"""),143.75)</f>
        <v>143.75</v>
      </c>
    </row>
    <row r="36" spans="1:2" x14ac:dyDescent="0.25">
      <c r="A36" s="2">
        <f ca="1">IFERROR(__xludf.DUMMYFUNCTION("""COMPUTED_VALUE"""),45712.6666666666)</f>
        <v>45712.666666666599</v>
      </c>
      <c r="B36" s="1">
        <f ca="1">IFERROR(__xludf.DUMMYFUNCTION("""COMPUTED_VALUE"""),129.04)</f>
        <v>129.04</v>
      </c>
    </row>
    <row r="37" spans="1:2" x14ac:dyDescent="0.25">
      <c r="A37" s="2">
        <f ca="1">IFERROR(__xludf.DUMMYFUNCTION("""COMPUTED_VALUE"""),45713.6666666666)</f>
        <v>45713.666666666599</v>
      </c>
      <c r="B37" s="1">
        <f ca="1">IFERROR(__xludf.DUMMYFUNCTION("""COMPUTED_VALUE"""),134.01)</f>
        <v>134.01</v>
      </c>
    </row>
    <row r="38" spans="1:2" x14ac:dyDescent="0.25">
      <c r="A38" s="2">
        <f ca="1">IFERROR(__xludf.DUMMYFUNCTION("""COMPUTED_VALUE"""),45714.6666666666)</f>
        <v>45714.666666666599</v>
      </c>
      <c r="B38" s="1">
        <f ca="1">IFERROR(__xludf.DUMMYFUNCTION("""COMPUTED_VALUE"""),139.08)</f>
        <v>139.08000000000001</v>
      </c>
    </row>
    <row r="39" spans="1:2" x14ac:dyDescent="0.25">
      <c r="A39" s="2">
        <f ca="1">IFERROR(__xludf.DUMMYFUNCTION("""COMPUTED_VALUE"""),45715.6666666666)</f>
        <v>45715.666666666599</v>
      </c>
      <c r="B39" s="1">
        <f ca="1">IFERROR(__xludf.DUMMYFUNCTION("""COMPUTED_VALUE"""),136.55)</f>
        <v>136.55000000000001</v>
      </c>
    </row>
    <row r="40" spans="1:2" x14ac:dyDescent="0.25">
      <c r="A40" s="2">
        <f ca="1">IFERROR(__xludf.DUMMYFUNCTION("""COMPUTED_VALUE"""),45716.6666666666)</f>
        <v>45716.666666666599</v>
      </c>
      <c r="B40" s="1">
        <f ca="1">IFERROR(__xludf.DUMMYFUNCTION("""COMPUTED_VALUE"""),132.51)</f>
        <v>132.51</v>
      </c>
    </row>
    <row r="41" spans="1:2" x14ac:dyDescent="0.25">
      <c r="A41" s="2">
        <f ca="1">IFERROR(__xludf.DUMMYFUNCTION("""COMPUTED_VALUE"""),45719.6666666666)</f>
        <v>45719.666666666599</v>
      </c>
      <c r="B41" s="1">
        <f ca="1">IFERROR(__xludf.DUMMYFUNCTION("""COMPUTED_VALUE"""),130.81)</f>
        <v>130.81</v>
      </c>
    </row>
    <row r="42" spans="1:2" x14ac:dyDescent="0.25">
      <c r="A42" s="2">
        <f ca="1">IFERROR(__xludf.DUMMYFUNCTION("""COMPUTED_VALUE"""),45720.6666666666)</f>
        <v>45720.666666666599</v>
      </c>
      <c r="B42" s="1">
        <f ca="1">IFERROR(__xludf.DUMMYFUNCTION("""COMPUTED_VALUE"""),129.85)</f>
        <v>129.85</v>
      </c>
    </row>
    <row r="43" spans="1:2" x14ac:dyDescent="0.25">
      <c r="A43" s="2">
        <f ca="1">IFERROR(__xludf.DUMMYFUNCTION("""COMPUTED_VALUE"""),45721.6666666666)</f>
        <v>45721.666666666599</v>
      </c>
      <c r="B43" s="1">
        <f ca="1">IFERROR(__xludf.DUMMYFUNCTION("""COMPUTED_VALUE"""),141.03)</f>
        <v>141.03</v>
      </c>
    </row>
    <row r="44" spans="1:2" x14ac:dyDescent="0.25">
      <c r="A44" s="2">
        <f ca="1">IFERROR(__xludf.DUMMYFUNCTION("""COMPUTED_VALUE"""),45722.6666666666)</f>
        <v>45722.666666666599</v>
      </c>
      <c r="B44" s="1">
        <f ca="1">IFERROR(__xludf.DUMMYFUNCTION("""COMPUTED_VALUE"""),139.95)</f>
        <v>139.94999999999999</v>
      </c>
    </row>
    <row r="45" spans="1:2" x14ac:dyDescent="0.25">
      <c r="A45" s="2">
        <f ca="1">IFERROR(__xludf.DUMMYFUNCTION("""COMPUTED_VALUE"""),45723.6666666666)</f>
        <v>45723.666666666599</v>
      </c>
      <c r="B45" s="1">
        <f ca="1">IFERROR(__xludf.DUMMYFUNCTION("""COMPUTED_VALUE"""),140.62)</f>
        <v>140.62</v>
      </c>
    </row>
    <row r="46" spans="1:2" x14ac:dyDescent="0.25">
      <c r="A46" s="2">
        <f ca="1">IFERROR(__xludf.DUMMYFUNCTION("""COMPUTED_VALUE"""),45726.6666666666)</f>
        <v>45726.666666666599</v>
      </c>
      <c r="B46" s="1">
        <f ca="1">IFERROR(__xludf.DUMMYFUNCTION("""COMPUTED_VALUE"""),132.54)</f>
        <v>132.54</v>
      </c>
    </row>
    <row r="47" spans="1:2" x14ac:dyDescent="0.25">
      <c r="A47" s="2">
        <f ca="1">IFERROR(__xludf.DUMMYFUNCTION("""COMPUTED_VALUE"""),45727.6666666666)</f>
        <v>45727.666666666599</v>
      </c>
      <c r="B47" s="1">
        <f ca="1">IFERROR(__xludf.DUMMYFUNCTION("""COMPUTED_VALUE"""),139.02)</f>
        <v>139.02000000000001</v>
      </c>
    </row>
    <row r="48" spans="1:2" x14ac:dyDescent="0.25">
      <c r="A48" s="2">
        <f ca="1">IFERROR(__xludf.DUMMYFUNCTION("""COMPUTED_VALUE"""),45728.6666666666)</f>
        <v>45728.666666666599</v>
      </c>
      <c r="B48" s="1">
        <f ca="1">IFERROR(__xludf.DUMMYFUNCTION("""COMPUTED_VALUE"""),137.14)</f>
        <v>137.13999999999999</v>
      </c>
    </row>
    <row r="49" spans="1:2" x14ac:dyDescent="0.25">
      <c r="A49" s="2">
        <f ca="1">IFERROR(__xludf.DUMMYFUNCTION("""COMPUTED_VALUE"""),45729.6666666666)</f>
        <v>45729.666666666599</v>
      </c>
      <c r="B49" s="1">
        <f ca="1">IFERROR(__xludf.DUMMYFUNCTION("""COMPUTED_VALUE"""),138.35)</f>
        <v>138.35</v>
      </c>
    </row>
    <row r="50" spans="1:2" x14ac:dyDescent="0.25">
      <c r="A50" s="2">
        <f ca="1">IFERROR(__xludf.DUMMYFUNCTION("""COMPUTED_VALUE"""),45730.6666666666)</f>
        <v>45730.666666666599</v>
      </c>
      <c r="B50" s="1">
        <f ca="1">IFERROR(__xludf.DUMMYFUNCTION("""COMPUTED_VALUE"""),141.1)</f>
        <v>141.1</v>
      </c>
    </row>
    <row r="51" spans="1:2" x14ac:dyDescent="0.25">
      <c r="A51" s="2">
        <f ca="1">IFERROR(__xludf.DUMMYFUNCTION("""COMPUTED_VALUE"""),45733.6666666666)</f>
        <v>45733.666666666599</v>
      </c>
      <c r="B51" s="1">
        <f ca="1">IFERROR(__xludf.DUMMYFUNCTION("""COMPUTED_VALUE"""),147.57)</f>
        <v>147.57</v>
      </c>
    </row>
    <row r="52" spans="1:2" x14ac:dyDescent="0.25">
      <c r="A52" s="2">
        <f ca="1">IFERROR(__xludf.DUMMYFUNCTION("""COMPUTED_VALUE"""),45734.6666666666)</f>
        <v>45734.666666666599</v>
      </c>
      <c r="B52" s="1">
        <f ca="1">IFERROR(__xludf.DUMMYFUNCTION("""COMPUTED_VALUE"""),142.74)</f>
        <v>142.74</v>
      </c>
    </row>
    <row r="53" spans="1:2" x14ac:dyDescent="0.25">
      <c r="A53" s="2">
        <f ca="1">IFERROR(__xludf.DUMMYFUNCTION("""COMPUTED_VALUE"""),45735.6666666666)</f>
        <v>45735.666666666599</v>
      </c>
      <c r="B53" s="1">
        <f ca="1">IFERROR(__xludf.DUMMYFUNCTION("""COMPUTED_VALUE"""),143.2)</f>
        <v>143.19999999999999</v>
      </c>
    </row>
    <row r="54" spans="1:2" x14ac:dyDescent="0.25">
      <c r="A54" s="2">
        <f ca="1">IFERROR(__xludf.DUMMYFUNCTION("""COMPUTED_VALUE"""),45736.6666666666)</f>
        <v>45736.666666666599</v>
      </c>
      <c r="B54" s="1">
        <f ca="1">IFERROR(__xludf.DUMMYFUNCTION("""COMPUTED_VALUE"""),136.91)</f>
        <v>136.91</v>
      </c>
    </row>
    <row r="55" spans="1:2" x14ac:dyDescent="0.25">
      <c r="A55" s="2">
        <f ca="1">IFERROR(__xludf.DUMMYFUNCTION("""COMPUTED_VALUE"""),45737.6666666666)</f>
        <v>45737.666666666599</v>
      </c>
      <c r="B55" s="1">
        <f ca="1">IFERROR(__xludf.DUMMYFUNCTION("""COMPUTED_VALUE"""),135.14)</f>
        <v>135.13999999999999</v>
      </c>
    </row>
    <row r="56" spans="1:2" x14ac:dyDescent="0.25">
      <c r="A56" s="2">
        <f ca="1">IFERROR(__xludf.DUMMYFUNCTION("""COMPUTED_VALUE"""),45740.6666666666)</f>
        <v>45740.666666666599</v>
      </c>
      <c r="B56" s="1">
        <f ca="1">IFERROR(__xludf.DUMMYFUNCTION("""COMPUTED_VALUE"""),134.48)</f>
        <v>134.47999999999999</v>
      </c>
    </row>
    <row r="57" spans="1:2" x14ac:dyDescent="0.25">
      <c r="A57" s="2">
        <f ca="1">IFERROR(__xludf.DUMMYFUNCTION("""COMPUTED_VALUE"""),45741.6666666666)</f>
        <v>45741.666666666599</v>
      </c>
      <c r="B57" s="1">
        <f ca="1">IFERROR(__xludf.DUMMYFUNCTION("""COMPUTED_VALUE"""),132.75)</f>
        <v>132.75</v>
      </c>
    </row>
    <row r="58" spans="1:2" x14ac:dyDescent="0.25">
      <c r="A58" s="2">
        <f ca="1">IFERROR(__xludf.DUMMYFUNCTION("""COMPUTED_VALUE"""),45742.6666666666)</f>
        <v>45742.666666666599</v>
      </c>
      <c r="B58" s="1">
        <f ca="1">IFERROR(__xludf.DUMMYFUNCTION("""COMPUTED_VALUE"""),132.24)</f>
        <v>132.24</v>
      </c>
    </row>
    <row r="59" spans="1:2" x14ac:dyDescent="0.25">
      <c r="A59" s="2">
        <f ca="1">IFERROR(__xludf.DUMMYFUNCTION("""COMPUTED_VALUE"""),45743.6666666666)</f>
        <v>45743.666666666599</v>
      </c>
      <c r="B59" s="1">
        <f ca="1">IFERROR(__xludf.DUMMYFUNCTION("""COMPUTED_VALUE"""),135.63)</f>
        <v>135.63</v>
      </c>
    </row>
    <row r="60" spans="1:2" x14ac:dyDescent="0.25">
      <c r="A60" s="2">
        <f ca="1">IFERROR(__xludf.DUMMYFUNCTION("""COMPUTED_VALUE"""),45744.6666666666)</f>
        <v>45744.666666666599</v>
      </c>
      <c r="B60" s="1">
        <f ca="1">IFERROR(__xludf.DUMMYFUNCTION("""COMPUTED_VALUE"""),132.43)</f>
        <v>132.43</v>
      </c>
    </row>
    <row r="61" spans="1:2" x14ac:dyDescent="0.25">
      <c r="A61" s="2">
        <f ca="1">IFERROR(__xludf.DUMMYFUNCTION("""COMPUTED_VALUE"""),45747.6666666666)</f>
        <v>45747.666666666599</v>
      </c>
      <c r="B61" s="1">
        <f ca="1">IFERROR(__xludf.DUMMYFUNCTION("""COMPUTED_VALUE"""),132.23)</f>
        <v>132.22999999999999</v>
      </c>
    </row>
    <row r="62" spans="1:2" x14ac:dyDescent="0.25">
      <c r="A62" s="2">
        <f ca="1">IFERROR(__xludf.DUMMYFUNCTION("""COMPUTED_VALUE"""),45748.6666666666)</f>
        <v>45748.666666666599</v>
      </c>
      <c r="B62" s="1">
        <f ca="1">IFERROR(__xludf.DUMMYFUNCTION("""COMPUTED_VALUE"""),132.7)</f>
        <v>132.69999999999999</v>
      </c>
    </row>
    <row r="63" spans="1:2" x14ac:dyDescent="0.25">
      <c r="A63" s="2">
        <f ca="1">IFERROR(__xludf.DUMMYFUNCTION("""COMPUTED_VALUE"""),45749.6666666666)</f>
        <v>45749.666666666599</v>
      </c>
      <c r="B63" s="1">
        <f ca="1">IFERROR(__xludf.DUMMYFUNCTION("""COMPUTED_VALUE"""),129.79)</f>
        <v>129.79</v>
      </c>
    </row>
    <row r="64" spans="1:2" x14ac:dyDescent="0.25">
      <c r="A64" s="2">
        <f ca="1">IFERROR(__xludf.DUMMYFUNCTION("""COMPUTED_VALUE"""),45750.6666666666)</f>
        <v>45750.666666666599</v>
      </c>
      <c r="B64" s="1">
        <f ca="1">IFERROR(__xludf.DUMMYFUNCTION("""COMPUTED_VALUE"""),129.33)</f>
        <v>129.33000000000001</v>
      </c>
    </row>
    <row r="65" spans="1:2" x14ac:dyDescent="0.25">
      <c r="A65" s="2">
        <f ca="1">IFERROR(__xludf.DUMMYFUNCTION("""COMPUTED_VALUE"""),45751.6666666666)</f>
        <v>45751.666666666599</v>
      </c>
      <c r="B65" s="1">
        <f ca="1">IFERROR(__xludf.DUMMYFUNCTION("""COMPUTED_VALUE"""),116.54)</f>
        <v>116.54</v>
      </c>
    </row>
    <row r="66" spans="1:2" x14ac:dyDescent="0.25">
      <c r="A66" s="2">
        <f ca="1">IFERROR(__xludf.DUMMYFUNCTION("""COMPUTED_VALUE"""),45754.6666666666)</f>
        <v>45754.666666666599</v>
      </c>
      <c r="B66" s="1">
        <f ca="1">IFERROR(__xludf.DUMMYFUNCTION("""COMPUTED_VALUE"""),105.98)</f>
        <v>105.98</v>
      </c>
    </row>
    <row r="67" spans="1:2" x14ac:dyDescent="0.25">
      <c r="A67" s="2">
        <f ca="1">IFERROR(__xludf.DUMMYFUNCTION("""COMPUTED_VALUE"""),45755.6666666666)</f>
        <v>45755.666666666599</v>
      </c>
      <c r="B67" s="1">
        <f ca="1">IFERROR(__xludf.DUMMYFUNCTION("""COMPUTED_VALUE"""),99.37)</f>
        <v>99.37</v>
      </c>
    </row>
    <row r="68" spans="1:2" x14ac:dyDescent="0.25">
      <c r="A68" s="2">
        <f ca="1">IFERROR(__xludf.DUMMYFUNCTION("""COMPUTED_VALUE"""),45756.6666666666)</f>
        <v>45756.666666666599</v>
      </c>
      <c r="B68" s="1">
        <f ca="1">IFERROR(__xludf.DUMMYFUNCTION("""COMPUTED_VALUE"""),104.78)</f>
        <v>104.78</v>
      </c>
    </row>
    <row r="69" spans="1:2" x14ac:dyDescent="0.25">
      <c r="A69" s="2">
        <f ca="1">IFERROR(__xludf.DUMMYFUNCTION("""COMPUTED_VALUE"""),45757.6666666666)</f>
        <v>45757.666666666599</v>
      </c>
      <c r="B69" s="1">
        <f ca="1">IFERROR(__xludf.DUMMYFUNCTION("""COMPUTED_VALUE"""),104.18)</f>
        <v>104.18</v>
      </c>
    </row>
    <row r="70" spans="1:2" x14ac:dyDescent="0.25">
      <c r="A70" s="2">
        <f ca="1">IFERROR(__xludf.DUMMYFUNCTION("""COMPUTED_VALUE"""),45758.6666666666)</f>
        <v>45758.666666666599</v>
      </c>
      <c r="B70" s="1">
        <f ca="1">IFERROR(__xludf.DUMMYFUNCTION("""COMPUTED_VALUE"""),107.73)</f>
        <v>107.73</v>
      </c>
    </row>
    <row r="71" spans="1:2" x14ac:dyDescent="0.25">
      <c r="A71" s="2">
        <f ca="1">IFERROR(__xludf.DUMMYFUNCTION("""COMPUTED_VALUE"""),45761.6666666666)</f>
        <v>45761.666666666599</v>
      </c>
      <c r="B71" s="1">
        <f ca="1">IFERROR(__xludf.DUMMYFUNCTION("""COMPUTED_VALUE"""),113.97)</f>
        <v>113.97</v>
      </c>
    </row>
    <row r="72" spans="1:2" x14ac:dyDescent="0.25">
      <c r="A72" s="2">
        <f ca="1">IFERROR(__xludf.DUMMYFUNCTION("""COMPUTED_VALUE"""),45762.6666666666)</f>
        <v>45762.666666666599</v>
      </c>
      <c r="B72" s="1">
        <f ca="1">IFERROR(__xludf.DUMMYFUNCTION("""COMPUTED_VALUE"""),112.28)</f>
        <v>112.28</v>
      </c>
    </row>
    <row r="73" spans="1:2" x14ac:dyDescent="0.25">
      <c r="A73" s="2">
        <f ca="1">IFERROR(__xludf.DUMMYFUNCTION("""COMPUTED_VALUE"""),45763.6666666666)</f>
        <v>45763.666666666599</v>
      </c>
      <c r="B73" s="1">
        <f ca="1">IFERROR(__xludf.DUMMYFUNCTION("""COMPUTED_VALUE"""),106.75)</f>
        <v>106.75</v>
      </c>
    </row>
    <row r="74" spans="1:2" x14ac:dyDescent="0.25">
      <c r="A74" s="2">
        <f ca="1">IFERROR(__xludf.DUMMYFUNCTION("""COMPUTED_VALUE"""),45764.6666666666)</f>
        <v>45764.666666666599</v>
      </c>
      <c r="B74" s="1">
        <f ca="1">IFERROR(__xludf.DUMMYFUNCTION("""COMPUTED_VALUE"""),108.87)</f>
        <v>108.87</v>
      </c>
    </row>
    <row r="75" spans="1:2" x14ac:dyDescent="0.25">
      <c r="A75" s="2">
        <f ca="1">IFERROR(__xludf.DUMMYFUNCTION("""COMPUTED_VALUE"""),45768.6666666666)</f>
        <v>45768.666666666599</v>
      </c>
      <c r="B75" s="1">
        <f ca="1">IFERROR(__xludf.DUMMYFUNCTION("""COMPUTED_VALUE"""),110.15)</f>
        <v>110.15</v>
      </c>
    </row>
    <row r="76" spans="1:2" x14ac:dyDescent="0.25">
      <c r="A76" s="2">
        <f ca="1">IFERROR(__xludf.DUMMYFUNCTION("""COMPUTED_VALUE"""),45769.6666666666)</f>
        <v>45769.666666666599</v>
      </c>
      <c r="B76" s="1">
        <f ca="1">IFERROR(__xludf.DUMMYFUNCTION("""COMPUTED_VALUE"""),115.88)</f>
        <v>115.88</v>
      </c>
    </row>
    <row r="77" spans="1:2" x14ac:dyDescent="0.25">
      <c r="A77" s="2">
        <f ca="1">IFERROR(__xludf.DUMMYFUNCTION("""COMPUTED_VALUE"""),45770.6666666666)</f>
        <v>45770.666666666599</v>
      </c>
      <c r="B77" s="1">
        <f ca="1">IFERROR(__xludf.DUMMYFUNCTION("""COMPUTED_VALUE"""),118.97)</f>
        <v>118.97</v>
      </c>
    </row>
    <row r="78" spans="1:2" x14ac:dyDescent="0.25">
      <c r="A78" s="2">
        <f ca="1">IFERROR(__xludf.DUMMYFUNCTION("""COMPUTED_VALUE"""),45771.6666666666)</f>
        <v>45771.666666666599</v>
      </c>
      <c r="B78" s="1">
        <f ca="1">IFERROR(__xludf.DUMMYFUNCTION("""COMPUTED_VALUE"""),119.29)</f>
        <v>119.29</v>
      </c>
    </row>
    <row r="79" spans="1:2" x14ac:dyDescent="0.25">
      <c r="A79" s="2">
        <f ca="1">IFERROR(__xludf.DUMMYFUNCTION("""COMPUTED_VALUE"""),45772.6666666666)</f>
        <v>45772.666666666599</v>
      </c>
      <c r="B79" s="1">
        <f ca="1">IFERROR(__xludf.DUMMYFUNCTION("""COMPUTED_VALUE"""),120.28)</f>
        <v>120.28</v>
      </c>
    </row>
    <row r="80" spans="1:2" x14ac:dyDescent="0.25">
      <c r="A80" s="2">
        <f ca="1">IFERROR(__xludf.DUMMYFUNCTION("""COMPUTED_VALUE"""),45775.6666666666)</f>
        <v>45775.666666666599</v>
      </c>
      <c r="B80" s="1">
        <f ca="1">IFERROR(__xludf.DUMMYFUNCTION("""COMPUTED_VALUE"""),118.37)</f>
        <v>118.37</v>
      </c>
    </row>
    <row r="81" spans="1:2" x14ac:dyDescent="0.25">
      <c r="A81" s="2">
        <f ca="1">IFERROR(__xludf.DUMMYFUNCTION("""COMPUTED_VALUE"""),45776.6666666666)</f>
        <v>45776.666666666599</v>
      </c>
      <c r="B81" s="1">
        <f ca="1">IFERROR(__xludf.DUMMYFUNCTION("""COMPUTED_VALUE"""),118.88)</f>
        <v>118.88</v>
      </c>
    </row>
    <row r="82" spans="1:2" x14ac:dyDescent="0.25">
      <c r="A82" s="2">
        <f ca="1">IFERROR(__xludf.DUMMYFUNCTION("""COMPUTED_VALUE"""),45777.6666666666)</f>
        <v>45777.666666666599</v>
      </c>
      <c r="B82" s="1">
        <f ca="1">IFERROR(__xludf.DUMMYFUNCTION("""COMPUTED_VALUE"""),119.43)</f>
        <v>119.43</v>
      </c>
    </row>
    <row r="83" spans="1:2" x14ac:dyDescent="0.25">
      <c r="A83" s="2">
        <f ca="1">IFERROR(__xludf.DUMMYFUNCTION("""COMPUTED_VALUE"""),45778.6666666666)</f>
        <v>45778.666666666599</v>
      </c>
      <c r="B83" s="1">
        <f ca="1">IFERROR(__xludf.DUMMYFUNCTION("""COMPUTED_VALUE"""),120.53)</f>
        <v>120.53</v>
      </c>
    </row>
    <row r="84" spans="1:2" x14ac:dyDescent="0.25">
      <c r="A84" s="2">
        <f ca="1">IFERROR(__xludf.DUMMYFUNCTION("""COMPUTED_VALUE"""),45779.6666666666)</f>
        <v>45779.666666666599</v>
      </c>
      <c r="B84" s="1">
        <f ca="1">IFERROR(__xludf.DUMMYFUNCTION("""COMPUTED_VALUE"""),125.76)</f>
        <v>125.76</v>
      </c>
    </row>
    <row r="85" spans="1:2" x14ac:dyDescent="0.25">
      <c r="A85" s="2">
        <f ca="1">IFERROR(__xludf.DUMMYFUNCTION("""COMPUTED_VALUE"""),45782.6666666666)</f>
        <v>45782.666666666599</v>
      </c>
      <c r="B85" s="1">
        <f ca="1">IFERROR(__xludf.DUMMYFUNCTION("""COMPUTED_VALUE"""),126.57)</f>
        <v>126.57</v>
      </c>
    </row>
    <row r="86" spans="1:2" x14ac:dyDescent="0.25">
      <c r="A86" s="2">
        <f ca="1">IFERROR(__xludf.DUMMYFUNCTION("""COMPUTED_VALUE"""),45783.6666666666)</f>
        <v>45783.666666666599</v>
      </c>
      <c r="B86" s="1">
        <f ca="1">IFERROR(__xludf.DUMMYFUNCTION("""COMPUTED_VALUE"""),127.66)</f>
        <v>127.66</v>
      </c>
    </row>
    <row r="87" spans="1:2" x14ac:dyDescent="0.25">
      <c r="A87" s="2">
        <f ca="1">IFERROR(__xludf.DUMMYFUNCTION("""COMPUTED_VALUE"""),45784.6666666666)</f>
        <v>45784.666666666599</v>
      </c>
      <c r="B87" s="1">
        <f ca="1">IFERROR(__xludf.DUMMYFUNCTION("""COMPUTED_VALUE"""),123.23)</f>
        <v>123.23</v>
      </c>
    </row>
    <row r="88" spans="1:2" x14ac:dyDescent="0.25">
      <c r="A88" s="2">
        <f ca="1">IFERROR(__xludf.DUMMYFUNCTION("""COMPUTED_VALUE"""),45785.6666666666)</f>
        <v>45785.666666666599</v>
      </c>
      <c r="B88" s="1">
        <f ca="1">IFERROR(__xludf.DUMMYFUNCTION("""COMPUTED_VALUE"""),125.79)</f>
        <v>125.79</v>
      </c>
    </row>
    <row r="89" spans="1:2" x14ac:dyDescent="0.25">
      <c r="A89" s="2">
        <f ca="1">IFERROR(__xludf.DUMMYFUNCTION("""COMPUTED_VALUE"""),45786.6666666666)</f>
        <v>45786.666666666599</v>
      </c>
      <c r="B89" s="1">
        <f ca="1">IFERROR(__xludf.DUMMYFUNCTION("""COMPUTED_VALUE"""),125.33)</f>
        <v>125.33</v>
      </c>
    </row>
    <row r="90" spans="1:2" x14ac:dyDescent="0.25">
      <c r="A90" s="2">
        <f ca="1">IFERROR(__xludf.DUMMYFUNCTION("""COMPUTED_VALUE"""),45789.6666666666)</f>
        <v>45789.666666666599</v>
      </c>
      <c r="B90" s="1">
        <f ca="1">IFERROR(__xludf.DUMMYFUNCTION("""COMPUTED_VALUE"""),132.55)</f>
        <v>132.55000000000001</v>
      </c>
    </row>
    <row r="91" spans="1:2" x14ac:dyDescent="0.25">
      <c r="A91" s="2">
        <f ca="1">IFERROR(__xludf.DUMMYFUNCTION("""COMPUTED_VALUE"""),45790.6666666666)</f>
        <v>45790.666666666599</v>
      </c>
      <c r="B91" s="1">
        <f ca="1">IFERROR(__xludf.DUMMYFUNCTION("""COMPUTED_VALUE"""),131.65)</f>
        <v>131.65</v>
      </c>
    </row>
    <row r="92" spans="1:2" x14ac:dyDescent="0.25">
      <c r="A92" s="2">
        <f ca="1">IFERROR(__xludf.DUMMYFUNCTION("""COMPUTED_VALUE"""),45791.6666666666)</f>
        <v>45791.666666666599</v>
      </c>
      <c r="B92" s="1">
        <f ca="1">IFERROR(__xludf.DUMMYFUNCTION("""COMPUTED_VALUE"""),134.05)</f>
        <v>134.05000000000001</v>
      </c>
    </row>
    <row r="93" spans="1:2" x14ac:dyDescent="0.25">
      <c r="A93" s="2">
        <f ca="1">IFERROR(__xludf.DUMMYFUNCTION("""COMPUTED_VALUE"""),45792.6666666666)</f>
        <v>45792.666666666599</v>
      </c>
      <c r="B93" s="1">
        <f ca="1">IFERROR(__xludf.DUMMYFUNCTION("""COMPUTED_VALUE"""),123.9)</f>
        <v>123.9</v>
      </c>
    </row>
    <row r="94" spans="1:2" x14ac:dyDescent="0.25">
      <c r="A94" s="2">
        <f ca="1">IFERROR(__xludf.DUMMYFUNCTION("""COMPUTED_VALUE"""),45793.6666666666)</f>
        <v>45793.666666666599</v>
      </c>
      <c r="B94" s="1">
        <f ca="1">IFERROR(__xludf.DUMMYFUNCTION("""COMPUTED_VALUE"""),123.46)</f>
        <v>123.46</v>
      </c>
    </row>
    <row r="95" spans="1:2" x14ac:dyDescent="0.25">
      <c r="A95" s="2">
        <f ca="1">IFERROR(__xludf.DUMMYFUNCTION("""COMPUTED_VALUE"""),45796.6666666666)</f>
        <v>45796.666666666599</v>
      </c>
      <c r="B95" s="1">
        <f ca="1">IFERROR(__xludf.DUMMYFUNCTION("""COMPUTED_VALUE"""),122.96)</f>
        <v>122.96</v>
      </c>
    </row>
    <row r="96" spans="1:2" x14ac:dyDescent="0.25">
      <c r="A96" s="2">
        <f ca="1">IFERROR(__xludf.DUMMYFUNCTION("""COMPUTED_VALUE"""),45797.6666666666)</f>
        <v>45797.666666666599</v>
      </c>
      <c r="B96" s="1">
        <f ca="1">IFERROR(__xludf.DUMMYFUNCTION("""COMPUTED_VALUE"""),125.16)</f>
        <v>125.16</v>
      </c>
    </row>
    <row r="97" spans="1:2" x14ac:dyDescent="0.25">
      <c r="A97" s="2">
        <f ca="1">IFERROR(__xludf.DUMMYFUNCTION("""COMPUTED_VALUE"""),45798.6666666666)</f>
        <v>45798.666666666599</v>
      </c>
      <c r="B97" s="1">
        <f ca="1">IFERROR(__xludf.DUMMYFUNCTION("""COMPUTED_VALUE"""),123.59)</f>
        <v>123.59</v>
      </c>
    </row>
    <row r="98" spans="1:2" x14ac:dyDescent="0.25">
      <c r="A98" s="2">
        <f ca="1">IFERROR(__xludf.DUMMYFUNCTION("""COMPUTED_VALUE"""),45799.6666666666)</f>
        <v>45799.666666666599</v>
      </c>
      <c r="B98" s="1">
        <f ca="1">IFERROR(__xludf.DUMMYFUNCTION("""COMPUTED_VALUE"""),121.48)</f>
        <v>121.48</v>
      </c>
    </row>
    <row r="99" spans="1:2" x14ac:dyDescent="0.25">
      <c r="A99" s="2">
        <f ca="1">IFERROR(__xludf.DUMMYFUNCTION("""COMPUTED_VALUE"""),45800.6666666666)</f>
        <v>45800.666666666599</v>
      </c>
      <c r="B99" s="1">
        <f ca="1">IFERROR(__xludf.DUMMYFUNCTION("""COMPUTED_VALUE"""),120.73)</f>
        <v>120.73</v>
      </c>
    </row>
    <row r="100" spans="1:2" x14ac:dyDescent="0.25">
      <c r="A100" s="2">
        <f ca="1">IFERROR(__xludf.DUMMYFUNCTION("""COMPUTED_VALUE"""),45804.6666666666)</f>
        <v>45804.666666666599</v>
      </c>
      <c r="B100" s="1">
        <f ca="1">IFERROR(__xludf.DUMMYFUNCTION("""COMPUTED_VALUE"""),119.52)</f>
        <v>119.52</v>
      </c>
    </row>
    <row r="101" spans="1:2" x14ac:dyDescent="0.25">
      <c r="A101" s="2">
        <f ca="1">IFERROR(__xludf.DUMMYFUNCTION("""COMPUTED_VALUE"""),45805.6666666666)</f>
        <v>45805.666666666599</v>
      </c>
      <c r="B101" s="1">
        <f ca="1">IFERROR(__xludf.DUMMYFUNCTION("""COMPUTED_VALUE"""),116.74)</f>
        <v>116.74</v>
      </c>
    </row>
    <row r="102" spans="1:2" x14ac:dyDescent="0.25">
      <c r="A102" s="2">
        <f ca="1">IFERROR(__xludf.DUMMYFUNCTION("""COMPUTED_VALUE"""),45806.6666666666)</f>
        <v>45806.666666666599</v>
      </c>
      <c r="B102" s="1">
        <f ca="1">IFERROR(__xludf.DUMMYFUNCTION("""COMPUTED_VALUE"""),117.18)</f>
        <v>117.18</v>
      </c>
    </row>
    <row r="103" spans="1:2" x14ac:dyDescent="0.25">
      <c r="A103" s="2">
        <f ca="1">IFERROR(__xludf.DUMMYFUNCTION("""COMPUTED_VALUE"""),45807.6666666666)</f>
        <v>45807.666666666599</v>
      </c>
      <c r="B103" s="1">
        <f ca="1">IFERROR(__xludf.DUMMYFUNCTION("""COMPUTED_VALUE"""),113.84)</f>
        <v>113.84</v>
      </c>
    </row>
    <row r="104" spans="1:2" x14ac:dyDescent="0.25">
      <c r="A104" s="2">
        <f ca="1">IFERROR(__xludf.DUMMYFUNCTION("""COMPUTED_VALUE"""),45810.6666666666)</f>
        <v>45810.666666666599</v>
      </c>
      <c r="B104" s="1">
        <f ca="1">IFERROR(__xludf.DUMMYFUNCTION("""COMPUTED_VALUE"""),114.75)</f>
        <v>114.75</v>
      </c>
    </row>
    <row r="105" spans="1:2" x14ac:dyDescent="0.25">
      <c r="A105" s="2">
        <f ca="1">IFERROR(__xludf.DUMMYFUNCTION("""COMPUTED_VALUE"""),45811.6666666666)</f>
        <v>45811.666666666599</v>
      </c>
      <c r="B105" s="1">
        <f ca="1">IFERROR(__xludf.DUMMYFUNCTION("""COMPUTED_VALUE"""),114.97)</f>
        <v>114.97</v>
      </c>
    </row>
    <row r="106" spans="1:2" x14ac:dyDescent="0.25">
      <c r="A106" s="2">
        <f ca="1">IFERROR(__xludf.DUMMYFUNCTION("""COMPUTED_VALUE"""),45812.6666666666)</f>
        <v>45812.666666666599</v>
      </c>
      <c r="B106" s="1">
        <f ca="1">IFERROR(__xludf.DUMMYFUNCTION("""COMPUTED_VALUE"""),119.45)</f>
        <v>119.45</v>
      </c>
    </row>
    <row r="107" spans="1:2" x14ac:dyDescent="0.25">
      <c r="A107" s="2">
        <f ca="1">IFERROR(__xludf.DUMMYFUNCTION("""COMPUTED_VALUE"""),45813.6666666666)</f>
        <v>45813.666666666599</v>
      </c>
      <c r="B107" s="1">
        <f ca="1">IFERROR(__xludf.DUMMYFUNCTION("""COMPUTED_VALUE"""),119.96)</f>
        <v>119.96</v>
      </c>
    </row>
    <row r="108" spans="1:2" x14ac:dyDescent="0.25">
      <c r="A108" s="2">
        <f ca="1">IFERROR(__xludf.DUMMYFUNCTION("""COMPUTED_VALUE"""),45814.6666666666)</f>
        <v>45814.666666666599</v>
      </c>
      <c r="B108" s="1">
        <f ca="1">IFERROR(__xludf.DUMMYFUNCTION("""COMPUTED_VALUE"""),119.38)</f>
        <v>119.38</v>
      </c>
    </row>
    <row r="109" spans="1:2" x14ac:dyDescent="0.25">
      <c r="A109" s="2">
        <f ca="1">IFERROR(__xludf.DUMMYFUNCTION("""COMPUTED_VALUE"""),45817.6666666666)</f>
        <v>45817.666666666599</v>
      </c>
      <c r="B109" s="1">
        <f ca="1">IFERROR(__xludf.DUMMYFUNCTION("""COMPUTED_VALUE"""),121.48)</f>
        <v>121.48</v>
      </c>
    </row>
    <row r="110" spans="1:2" x14ac:dyDescent="0.25">
      <c r="A110" s="2">
        <f ca="1">IFERROR(__xludf.DUMMYFUNCTION("""COMPUTED_VALUE"""),45818.6666666666)</f>
        <v>45818.666666666599</v>
      </c>
      <c r="B110" s="1">
        <f ca="1">IFERROR(__xludf.DUMMYFUNCTION("""COMPUTED_VALUE"""),121.88)</f>
        <v>121.88</v>
      </c>
    </row>
    <row r="111" spans="1:2" x14ac:dyDescent="0.25">
      <c r="A111" s="2">
        <f ca="1">IFERROR(__xludf.DUMMYFUNCTION("""COMPUTED_VALUE"""),45819.6666666666)</f>
        <v>45819.666666666599</v>
      </c>
      <c r="B111" s="1">
        <f ca="1">IFERROR(__xludf.DUMMYFUNCTION("""COMPUTED_VALUE"""),120.33)</f>
        <v>120.33</v>
      </c>
    </row>
    <row r="112" spans="1:2" x14ac:dyDescent="0.25">
      <c r="A112" s="2">
        <f ca="1">IFERROR(__xludf.DUMMYFUNCTION("""COMPUTED_VALUE"""),45820.6666666666)</f>
        <v>45820.666666666599</v>
      </c>
      <c r="B112" s="1">
        <f ca="1">IFERROR(__xludf.DUMMYFUNCTION("""COMPUTED_VALUE"""),116.62)</f>
        <v>116.62</v>
      </c>
    </row>
    <row r="113" spans="1:2" x14ac:dyDescent="0.25">
      <c r="A113" s="2">
        <f ca="1">IFERROR(__xludf.DUMMYFUNCTION("""COMPUTED_VALUE"""),45821.6666666666)</f>
        <v>45821.666666666599</v>
      </c>
      <c r="B113" s="1">
        <f ca="1">IFERROR(__xludf.DUMMYFUNCTION("""COMPUTED_VALUE"""),112.87)</f>
        <v>112.87</v>
      </c>
    </row>
    <row r="114" spans="1:2" x14ac:dyDescent="0.25">
      <c r="A114" s="2">
        <f ca="1">IFERROR(__xludf.DUMMYFUNCTION("""COMPUTED_VALUE"""),45824.6666666666)</f>
        <v>45824.666666666599</v>
      </c>
      <c r="B114" s="1">
        <f ca="1">IFERROR(__xludf.DUMMYFUNCTION("""COMPUTED_VALUE"""),115.96)</f>
        <v>115.96</v>
      </c>
    </row>
    <row r="115" spans="1:2" x14ac:dyDescent="0.25">
      <c r="A115" s="2">
        <f ca="1">IFERROR(__xludf.DUMMYFUNCTION("""COMPUTED_VALUE"""),45825.6666666666)</f>
        <v>45825.666666666599</v>
      </c>
      <c r="B115" s="1">
        <f ca="1">IFERROR(__xludf.DUMMYFUNCTION("""COMPUTED_VALUE"""),115.03)</f>
        <v>115.03</v>
      </c>
    </row>
    <row r="116" spans="1:2" x14ac:dyDescent="0.25">
      <c r="A116" s="2">
        <f ca="1">IFERROR(__xludf.DUMMYFUNCTION("""COMPUTED_VALUE"""),45826.6666666666)</f>
        <v>45826.666666666599</v>
      </c>
      <c r="B116" s="1">
        <f ca="1">IFERROR(__xludf.DUMMYFUNCTION("""COMPUTED_VALUE"""),113.49)</f>
        <v>113.49</v>
      </c>
    </row>
    <row r="117" spans="1:2" x14ac:dyDescent="0.25">
      <c r="A117" s="2">
        <f ca="1">IFERROR(__xludf.DUMMYFUNCTION("""COMPUTED_VALUE"""),45828.6666666666)</f>
        <v>45828.666666666599</v>
      </c>
      <c r="B117" s="1">
        <f ca="1">IFERROR(__xludf.DUMMYFUNCTION("""COMPUTED_VALUE"""),113.01)</f>
        <v>113.01</v>
      </c>
    </row>
    <row r="118" spans="1:2" x14ac:dyDescent="0.25">
      <c r="A118" s="2">
        <f ca="1">IFERROR(__xludf.DUMMYFUNCTION("""COMPUTED_VALUE"""),45831.6666666666)</f>
        <v>45831.666666666599</v>
      </c>
      <c r="B118" s="1">
        <f ca="1">IFERROR(__xludf.DUMMYFUNCTION("""COMPUTED_VALUE"""),113.09)</f>
        <v>113.09</v>
      </c>
    </row>
    <row r="119" spans="1:2" x14ac:dyDescent="0.25">
      <c r="A119" s="2">
        <f ca="1">IFERROR(__xludf.DUMMYFUNCTION("""COMPUTED_VALUE"""),45832.6666666666)</f>
        <v>45832.666666666599</v>
      </c>
      <c r="B119" s="1">
        <f ca="1">IFERROR(__xludf.DUMMYFUNCTION("""COMPUTED_VALUE"""),117.01)</f>
        <v>117.01</v>
      </c>
    </row>
    <row r="120" spans="1:2" x14ac:dyDescent="0.25">
      <c r="A120" s="2">
        <f ca="1">IFERROR(__xludf.DUMMYFUNCTION("""COMPUTED_VALUE"""),45833.6666666666)</f>
        <v>45833.666666666599</v>
      </c>
      <c r="B120" s="1">
        <f ca="1">IFERROR(__xludf.DUMMYFUNCTION("""COMPUTED_VALUE"""),114.55)</f>
        <v>114.55</v>
      </c>
    </row>
    <row r="121" spans="1:2" x14ac:dyDescent="0.25">
      <c r="A121" s="2">
        <f ca="1">IFERROR(__xludf.DUMMYFUNCTION("""COMPUTED_VALUE"""),45834.6666666666)</f>
        <v>45834.666666666599</v>
      </c>
      <c r="B121" s="1">
        <f ca="1">IFERROR(__xludf.DUMMYFUNCTION("""COMPUTED_VALUE"""),113.93)</f>
        <v>113.93</v>
      </c>
    </row>
    <row r="122" spans="1:2" x14ac:dyDescent="0.25">
      <c r="A122" s="2">
        <f ca="1">IFERROR(__xludf.DUMMYFUNCTION("""COMPUTED_VALUE"""),45835.6666666666)</f>
        <v>45835.666666666599</v>
      </c>
      <c r="B122" s="1">
        <f ca="1">IFERROR(__xludf.DUMMYFUNCTION("""COMPUTED_VALUE"""),114.08)</f>
        <v>114.08</v>
      </c>
    </row>
    <row r="123" spans="1:2" x14ac:dyDescent="0.25">
      <c r="A123" s="2">
        <f ca="1">IFERROR(__xludf.DUMMYFUNCTION("""COMPUTED_VALUE"""),45838.6666666666)</f>
        <v>45838.666666666599</v>
      </c>
      <c r="B123" s="1">
        <f ca="1">IFERROR(__xludf.DUMMYFUNCTION("""COMPUTED_VALUE"""),113.41)</f>
        <v>113.41</v>
      </c>
    </row>
    <row r="124" spans="1:2" x14ac:dyDescent="0.25">
      <c r="A124" s="2">
        <f ca="1">IFERROR(__xludf.DUMMYFUNCTION("""COMPUTED_VALUE"""),45839.6666666666)</f>
        <v>45839.666666666599</v>
      </c>
      <c r="B124" s="1">
        <f ca="1">IFERROR(__xludf.DUMMYFUNCTION("""COMPUTED_VALUE"""),113.97)</f>
        <v>113.97</v>
      </c>
    </row>
    <row r="125" spans="1:2" x14ac:dyDescent="0.25">
      <c r="A125" s="2">
        <f ca="1">IFERROR(__xludf.DUMMYFUNCTION("""COMPUTED_VALUE"""),45840.6666666666)</f>
        <v>45840.666666666599</v>
      </c>
      <c r="B125" s="1">
        <f ca="1">IFERROR(__xludf.DUMMYFUNCTION("""COMPUTED_VALUE"""),110.71)</f>
        <v>110.71</v>
      </c>
    </row>
    <row r="126" spans="1:2" x14ac:dyDescent="0.25">
      <c r="A126" s="2">
        <f ca="1">IFERROR(__xludf.DUMMYFUNCTION("""COMPUTED_VALUE"""),45841.5416666666)</f>
        <v>45841.541666666599</v>
      </c>
      <c r="B126" s="1">
        <f ca="1">IFERROR(__xludf.DUMMYFUNCTION("""COMPUTED_VALUE"""),108.7)</f>
        <v>108.7</v>
      </c>
    </row>
    <row r="127" spans="1:2" x14ac:dyDescent="0.25">
      <c r="A127" s="2">
        <f ca="1">IFERROR(__xludf.DUMMYFUNCTION("""COMPUTED_VALUE"""),45845.6666666666)</f>
        <v>45845.666666666599</v>
      </c>
      <c r="B127" s="1">
        <f ca="1">IFERROR(__xludf.DUMMYFUNCTION("""COMPUTED_VALUE"""),106.27)</f>
        <v>106.27</v>
      </c>
    </row>
    <row r="128" spans="1:2" x14ac:dyDescent="0.25">
      <c r="A128" s="2">
        <f ca="1">IFERROR(__xludf.DUMMYFUNCTION("""COMPUTED_VALUE"""),45846.6666666666)</f>
        <v>45846.666666666599</v>
      </c>
      <c r="B128" s="1">
        <f ca="1">IFERROR(__xludf.DUMMYFUNCTION("""COMPUTED_VALUE"""),107.99)</f>
        <v>107.99</v>
      </c>
    </row>
    <row r="129" spans="1:2" x14ac:dyDescent="0.25">
      <c r="A129" s="2">
        <f ca="1">IFERROR(__xludf.DUMMYFUNCTION("""COMPUTED_VALUE"""),45847.6666666666)</f>
        <v>45847.666666666599</v>
      </c>
      <c r="B129" s="1">
        <f ca="1">IFERROR(__xludf.DUMMYFUNCTION("""COMPUTED_VALUE"""),103.83)</f>
        <v>103.83</v>
      </c>
    </row>
    <row r="130" spans="1:2" x14ac:dyDescent="0.25">
      <c r="A130" s="2">
        <f ca="1">IFERROR(__xludf.DUMMYFUNCTION("""COMPUTED_VALUE"""),45848.6666666666)</f>
        <v>45848.666666666599</v>
      </c>
      <c r="B130" s="1">
        <f ca="1">IFERROR(__xludf.DUMMYFUNCTION("""COMPUTED_VALUE"""),106.64)</f>
        <v>106.64</v>
      </c>
    </row>
    <row r="131" spans="1:2" x14ac:dyDescent="0.25">
      <c r="A131" s="2">
        <f ca="1">IFERROR(__xludf.DUMMYFUNCTION("""COMPUTED_VALUE"""),45849.6666666666)</f>
        <v>45849.666666666599</v>
      </c>
      <c r="B131" s="1">
        <f ca="1">IFERROR(__xludf.DUMMYFUNCTION("""COMPUTED_VALUE"""),106.72)</f>
        <v>106.72</v>
      </c>
    </row>
    <row r="132" spans="1:2" x14ac:dyDescent="0.25">
      <c r="A132" s="2">
        <f ca="1">IFERROR(__xludf.DUMMYFUNCTION("""COMPUTED_VALUE"""),45852.6666666666)</f>
        <v>45852.666666666599</v>
      </c>
      <c r="B132" s="1">
        <f ca="1">IFERROR(__xludf.DUMMYFUNCTION("""COMPUTED_VALUE"""),108.22)</f>
        <v>108.22</v>
      </c>
    </row>
    <row r="133" spans="1:2" x14ac:dyDescent="0.25">
      <c r="A133" s="2">
        <f ca="1">IFERROR(__xludf.DUMMYFUNCTION("""COMPUTED_VALUE"""),45853.6666666666)</f>
        <v>45853.666666666599</v>
      </c>
      <c r="B133" s="1">
        <f ca="1">IFERROR(__xludf.DUMMYFUNCTION("""COMPUTED_VALUE"""),116.97)</f>
        <v>116.97</v>
      </c>
    </row>
    <row r="134" spans="1:2" x14ac:dyDescent="0.25">
      <c r="A134" s="2">
        <f ca="1">IFERROR(__xludf.DUMMYFUNCTION("""COMPUTED_VALUE"""),45854.6666666666)</f>
        <v>45854.666666666599</v>
      </c>
      <c r="B134" s="1">
        <f ca="1">IFERROR(__xludf.DUMMYFUNCTION("""COMPUTED_VALUE"""),115.73)</f>
        <v>115.73</v>
      </c>
    </row>
    <row r="135" spans="1:2" x14ac:dyDescent="0.25">
      <c r="A135" s="2">
        <f ca="1">IFERROR(__xludf.DUMMYFUNCTION("""COMPUTED_VALUE"""),45855.6666666666)</f>
        <v>45855.666666666599</v>
      </c>
      <c r="B135" s="1">
        <f ca="1">IFERROR(__xludf.DUMMYFUNCTION("""COMPUTED_VALUE"""),117.3)</f>
        <v>117.3</v>
      </c>
    </row>
    <row r="136" spans="1:2" x14ac:dyDescent="0.25">
      <c r="A136" s="2">
        <f ca="1">IFERROR(__xludf.DUMMYFUNCTION("""COMPUTED_VALUE"""),45856.6666666666)</f>
        <v>45856.666666666599</v>
      </c>
      <c r="B136" s="1">
        <f ca="1">IFERROR(__xludf.DUMMYFUNCTION("""COMPUTED_VALUE"""),120.23)</f>
        <v>120.23</v>
      </c>
    </row>
    <row r="137" spans="1:2" x14ac:dyDescent="0.25">
      <c r="A137" s="2">
        <f ca="1">IFERROR(__xludf.DUMMYFUNCTION("""COMPUTED_VALUE"""),45859.6666666666)</f>
        <v>45859.666666666599</v>
      </c>
      <c r="B137" s="1">
        <f ca="1">IFERROR(__xludf.DUMMYFUNCTION("""COMPUTED_VALUE"""),120.27)</f>
        <v>120.27</v>
      </c>
    </row>
    <row r="138" spans="1:2" x14ac:dyDescent="0.25">
      <c r="A138" s="2">
        <f ca="1">IFERROR(__xludf.DUMMYFUNCTION("""COMPUTED_VALUE"""),45860.6666666666)</f>
        <v>45860.666666666599</v>
      </c>
      <c r="B138" s="1">
        <f ca="1">IFERROR(__xludf.DUMMYFUNCTION("""COMPUTED_VALUE"""),120.71)</f>
        <v>120.71</v>
      </c>
    </row>
    <row r="139" spans="1:2" x14ac:dyDescent="0.25">
      <c r="A139" s="2">
        <f ca="1">IFERROR(__xludf.DUMMYFUNCTION("""COMPUTED_VALUE"""),45861.6666666666)</f>
        <v>45861.666666666599</v>
      </c>
      <c r="B139" s="1">
        <f ca="1">IFERROR(__xludf.DUMMYFUNCTION("""COMPUTED_VALUE"""),122.58)</f>
        <v>122.58</v>
      </c>
    </row>
    <row r="140" spans="1:2" x14ac:dyDescent="0.25">
      <c r="A140" s="2">
        <f ca="1">IFERROR(__xludf.DUMMYFUNCTION("""COMPUTED_VALUE"""),45862.6666666666)</f>
        <v>45862.666666666599</v>
      </c>
      <c r="B140" s="1">
        <f ca="1">IFERROR(__xludf.DUMMYFUNCTION("""COMPUTED_VALUE"""),121.15)</f>
        <v>121.15</v>
      </c>
    </row>
    <row r="141" spans="1:2" x14ac:dyDescent="0.25">
      <c r="A141" s="2">
        <f ca="1">IFERROR(__xludf.DUMMYFUNCTION("""COMPUTED_VALUE"""),45863.6666666666)</f>
        <v>45863.666666666599</v>
      </c>
      <c r="B141" s="1">
        <f ca="1">IFERROR(__xludf.DUMMYFUNCTION("""COMPUTED_VALUE"""),120.03)</f>
        <v>120.03</v>
      </c>
    </row>
    <row r="142" spans="1:2" x14ac:dyDescent="0.25">
      <c r="A142" s="2">
        <f ca="1">IFERROR(__xludf.DUMMYFUNCTION("""COMPUTED_VALUE"""),45866.6666666666)</f>
        <v>45866.666666666599</v>
      </c>
      <c r="B142" s="1">
        <f ca="1">IFERROR(__xludf.DUMMYFUNCTION("""COMPUTED_VALUE"""),122.15)</f>
        <v>122.15</v>
      </c>
    </row>
    <row r="143" spans="1:2" x14ac:dyDescent="0.25">
      <c r="A143" s="2">
        <f ca="1">IFERROR(__xludf.DUMMYFUNCTION("""COMPUTED_VALUE"""),45867.6666666666)</f>
        <v>45867.666666666599</v>
      </c>
      <c r="B143" s="1">
        <f ca="1">IFERROR(__xludf.DUMMYFUNCTION("""COMPUTED_VALUE"""),119.36)</f>
        <v>119.36</v>
      </c>
    </row>
    <row r="144" spans="1:2" x14ac:dyDescent="0.25">
      <c r="A144" s="2">
        <f ca="1">IFERROR(__xludf.DUMMYFUNCTION("""COMPUTED_VALUE"""),45868.6666666666)</f>
        <v>45868.666666666599</v>
      </c>
      <c r="B144" s="1">
        <f ca="1">IFERROR(__xludf.DUMMYFUNCTION("""COMPUTED_VALUE"""),117.38)</f>
        <v>117.38</v>
      </c>
    </row>
    <row r="145" spans="1:2" x14ac:dyDescent="0.25">
      <c r="A145" s="2">
        <f ca="1">IFERROR(__xludf.DUMMYFUNCTION("""COMPUTED_VALUE"""),45869.6666666666)</f>
        <v>45869.666666666599</v>
      </c>
      <c r="B145" s="1">
        <f ca="1">IFERROR(__xludf.DUMMYFUNCTION("""COMPUTED_VALUE"""),120.63)</f>
        <v>120.63</v>
      </c>
    </row>
    <row r="146" spans="1:2" x14ac:dyDescent="0.25">
      <c r="A146" s="2">
        <f ca="1">IFERROR(__xludf.DUMMYFUNCTION("""COMPUTED_VALUE"""),45870.6666666666)</f>
        <v>45870.666666666599</v>
      </c>
      <c r="B146" s="1">
        <f ca="1">IFERROR(__xludf.DUMMYFUNCTION("""COMPUTED_VALUE"""),117.07)</f>
        <v>117.07</v>
      </c>
    </row>
    <row r="147" spans="1:2" x14ac:dyDescent="0.25">
      <c r="A147" s="2">
        <f ca="1">IFERROR(__xludf.DUMMYFUNCTION("""COMPUTED_VALUE"""),45873.6666666666)</f>
        <v>45873.666666666599</v>
      </c>
      <c r="B147" s="1">
        <f ca="1">IFERROR(__xludf.DUMMYFUNCTION("""COMPUTED_VALUE"""),117.5)</f>
        <v>117.5</v>
      </c>
    </row>
    <row r="148" spans="1:2" x14ac:dyDescent="0.25">
      <c r="A148" s="2">
        <f ca="1">IFERROR(__xludf.DUMMYFUNCTION("""COMPUTED_VALUE"""),45874.6666666666)</f>
        <v>45874.666666666599</v>
      </c>
      <c r="B148" s="1">
        <f ca="1">IFERROR(__xludf.DUMMYFUNCTION("""COMPUTED_VALUE"""),117.04)</f>
        <v>117.04</v>
      </c>
    </row>
    <row r="149" spans="1:2" x14ac:dyDescent="0.25">
      <c r="A149" s="2">
        <f ca="1">IFERROR(__xludf.DUMMYFUNCTION("""COMPUTED_VALUE"""),45875.6666666666)</f>
        <v>45875.666666666599</v>
      </c>
      <c r="B149" s="1">
        <f ca="1">IFERROR(__xludf.DUMMYFUNCTION("""COMPUTED_VALUE"""),120.86)</f>
        <v>120.86</v>
      </c>
    </row>
    <row r="150" spans="1:2" x14ac:dyDescent="0.25">
      <c r="A150" s="2">
        <f ca="1">IFERROR(__xludf.DUMMYFUNCTION("""COMPUTED_VALUE"""),45876.6666666666)</f>
        <v>45876.666666666599</v>
      </c>
      <c r="B150" s="1">
        <f ca="1">IFERROR(__xludf.DUMMYFUNCTION("""COMPUTED_VALUE"""),120.96)</f>
        <v>120.96</v>
      </c>
    </row>
    <row r="151" spans="1:2" x14ac:dyDescent="0.25">
      <c r="A151" s="2">
        <f ca="1">IFERROR(__xludf.DUMMYFUNCTION("""COMPUTED_VALUE"""),45877.6666666666)</f>
        <v>45877.666666666599</v>
      </c>
      <c r="B151" s="1">
        <f ca="1">IFERROR(__xludf.DUMMYFUNCTION("""COMPUTED_VALUE"""),120.36)</f>
        <v>120.36</v>
      </c>
    </row>
    <row r="152" spans="1:2" x14ac:dyDescent="0.25">
      <c r="A152" s="2">
        <f ca="1">IFERROR(__xludf.DUMMYFUNCTION("""COMPUTED_VALUE"""),45880.6666666666)</f>
        <v>45880.666666666599</v>
      </c>
      <c r="B152" s="1">
        <f ca="1">IFERROR(__xludf.DUMMYFUNCTION("""COMPUTED_VALUE"""),118.64)</f>
        <v>118.64</v>
      </c>
    </row>
    <row r="153" spans="1:2" x14ac:dyDescent="0.25">
      <c r="A153" s="2">
        <f ca="1">IFERROR(__xludf.DUMMYFUNCTION("""COMPUTED_VALUE"""),45881.6666666666)</f>
        <v>45881.666666666599</v>
      </c>
      <c r="B153" s="1">
        <f ca="1">IFERROR(__xludf.DUMMYFUNCTION("""COMPUTED_VALUE"""),122.42)</f>
        <v>122.42</v>
      </c>
    </row>
    <row r="154" spans="1:2" x14ac:dyDescent="0.25">
      <c r="A154" s="2">
        <f ca="1">IFERROR(__xludf.DUMMYFUNCTION("""COMPUTED_VALUE"""),45882.6666666666)</f>
        <v>45882.666666666599</v>
      </c>
      <c r="B154" s="1">
        <f ca="1">IFERROR(__xludf.DUMMYFUNCTION("""COMPUTED_VALUE"""),126.86)</f>
        <v>126.86</v>
      </c>
    </row>
    <row r="155" spans="1:2" x14ac:dyDescent="0.25">
      <c r="A155" s="2">
        <f ca="1">IFERROR(__xludf.DUMMYFUNCTION("""COMPUTED_VALUE"""),45883.6666666666)</f>
        <v>45883.666666666599</v>
      </c>
      <c r="B155" s="1">
        <f ca="1">IFERROR(__xludf.DUMMYFUNCTION("""COMPUTED_VALUE"""),122.28)</f>
        <v>122.28</v>
      </c>
    </row>
    <row r="156" spans="1:2" x14ac:dyDescent="0.25">
      <c r="A156" s="2">
        <f ca="1">IFERROR(__xludf.DUMMYFUNCTION("""COMPUTED_VALUE"""),45884.6666666666)</f>
        <v>45884.666666666599</v>
      </c>
      <c r="B156" s="1">
        <f ca="1">IFERROR(__xludf.DUMMYFUNCTION("""COMPUTED_VALUE"""),121.26)</f>
        <v>121.26</v>
      </c>
    </row>
    <row r="157" spans="1:2" x14ac:dyDescent="0.25">
      <c r="A157" s="2">
        <f ca="1">IFERROR(__xludf.DUMMYFUNCTION("""COMPUTED_VALUE"""),45887.6666666666)</f>
        <v>45887.666666666599</v>
      </c>
      <c r="B157" s="1">
        <f ca="1">IFERROR(__xludf.DUMMYFUNCTION("""COMPUTED_VALUE"""),121.4)</f>
        <v>121.4</v>
      </c>
    </row>
    <row r="158" spans="1:2" x14ac:dyDescent="0.25">
      <c r="A158" s="2">
        <f ca="1">IFERROR(__xludf.DUMMYFUNCTION("""COMPUTED_VALUE"""),45888.6666666666)</f>
        <v>45888.666666666599</v>
      </c>
      <c r="B158" s="1">
        <f ca="1">IFERROR(__xludf.DUMMYFUNCTION("""COMPUTED_VALUE"""),119.99)</f>
        <v>119.99</v>
      </c>
    </row>
    <row r="159" spans="1:2" x14ac:dyDescent="0.25">
      <c r="A159" s="2">
        <f ca="1">IFERROR(__xludf.DUMMYFUNCTION("""COMPUTED_VALUE"""),45889.6666666666)</f>
        <v>45889.666666666599</v>
      </c>
      <c r="B159" s="1">
        <f ca="1">IFERROR(__xludf.DUMMYFUNCTION("""COMPUTED_VALUE"""),119.49)</f>
        <v>119.49</v>
      </c>
    </row>
    <row r="160" spans="1:2" x14ac:dyDescent="0.25">
      <c r="A160" s="2">
        <f ca="1">IFERROR(__xludf.DUMMYFUNCTION("""COMPUTED_VALUE"""),45890.6666666666)</f>
        <v>45890.666666666599</v>
      </c>
      <c r="B160" s="1">
        <f ca="1">IFERROR(__xludf.DUMMYFUNCTION("""COMPUTED_VALUE"""),118.09)</f>
        <v>118.09</v>
      </c>
    </row>
    <row r="161" spans="1:2" x14ac:dyDescent="0.25">
      <c r="A161" s="2">
        <f ca="1">IFERROR(__xludf.DUMMYFUNCTION("""COMPUTED_VALUE"""),45891.6666666666)</f>
        <v>45891.666666666599</v>
      </c>
      <c r="B161" s="1">
        <f ca="1">IFERROR(__xludf.DUMMYFUNCTION("""COMPUTED_VALUE"""),122.94)</f>
        <v>122.94</v>
      </c>
    </row>
    <row r="162" spans="1:2" x14ac:dyDescent="0.25">
      <c r="A162" s="2">
        <f ca="1">IFERROR(__xludf.DUMMYFUNCTION("""COMPUTED_VALUE"""),45894.6666666666)</f>
        <v>45894.666666666599</v>
      </c>
      <c r="B162" s="1">
        <f ca="1">IFERROR(__xludf.DUMMYFUNCTION("""COMPUTED_VALUE"""),124.35)</f>
        <v>124.35</v>
      </c>
    </row>
    <row r="163" spans="1:2" x14ac:dyDescent="0.25">
      <c r="A163" s="2">
        <f ca="1">IFERROR(__xludf.DUMMYFUNCTION("""COMPUTED_VALUE"""),45895.6666666666)</f>
        <v>45895.666666666599</v>
      </c>
      <c r="B163" s="1">
        <f ca="1">IFERROR(__xludf.DUMMYFUNCTION("""COMPUTED_VALUE"""),124.19)</f>
        <v>124.19</v>
      </c>
    </row>
    <row r="164" spans="1:2" x14ac:dyDescent="0.25">
      <c r="A164" s="2">
        <f ca="1">IFERROR(__xludf.DUMMYFUNCTION("""COMPUTED_VALUE"""),45896.6666666666)</f>
        <v>45896.666666666599</v>
      </c>
      <c r="B164" s="1">
        <f ca="1">IFERROR(__xludf.DUMMYFUNCTION("""COMPUTED_VALUE"""),122.23)</f>
        <v>122.23</v>
      </c>
    </row>
    <row r="165" spans="1:2" x14ac:dyDescent="0.25">
      <c r="A165" s="2">
        <f ca="1">IFERROR(__xludf.DUMMYFUNCTION("""COMPUTED_VALUE"""),45897.6666666666)</f>
        <v>45897.666666666599</v>
      </c>
      <c r="B165" s="1">
        <f ca="1">IFERROR(__xludf.DUMMYFUNCTION("""COMPUTED_VALUE"""),119.57)</f>
        <v>119.57</v>
      </c>
    </row>
    <row r="166" spans="1:2" x14ac:dyDescent="0.25">
      <c r="A166" s="2">
        <f ca="1">IFERROR(__xludf.DUMMYFUNCTION("""COMPUTED_VALUE"""),45898.6666666666)</f>
        <v>45898.666666666599</v>
      </c>
      <c r="B166" s="1">
        <f ca="1">IFERROR(__xludf.DUMMYFUNCTION("""COMPUTED_VALUE"""),135)</f>
        <v>135</v>
      </c>
    </row>
    <row r="167" spans="1:2" x14ac:dyDescent="0.25"/>
    <row r="168" spans="1:2" x14ac:dyDescent="0.25"/>
    <row r="169" spans="1:2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 Zipeng</cp:lastModifiedBy>
  <dcterms:modified xsi:type="dcterms:W3CDTF">2025-08-31T13:30:08Z</dcterms:modified>
</cp:coreProperties>
</file>