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ZHAOZ\QUP\FMP\"/>
    </mc:Choice>
  </mc:AlternateContent>
  <xr:revisionPtr revIDLastSave="0" documentId="13_ncr:1_{A57A7CBA-5E9C-440F-BF26-936D1698D4F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ABA Train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9" i="1" l="1"/>
  <c r="A169" i="1"/>
  <c r="B168" i="1"/>
  <c r="A168" i="1"/>
  <c r="B167" i="1"/>
  <c r="A167" i="1"/>
  <c r="B166" i="1"/>
  <c r="A166" i="1"/>
  <c r="B165" i="1"/>
  <c r="A165" i="1"/>
  <c r="B164" i="1"/>
  <c r="A164" i="1"/>
  <c r="B163" i="1"/>
  <c r="A163" i="1"/>
  <c r="B162" i="1"/>
  <c r="A162" i="1"/>
  <c r="B161" i="1"/>
  <c r="A161" i="1"/>
  <c r="B160" i="1"/>
  <c r="A160" i="1"/>
  <c r="B159" i="1"/>
  <c r="A159" i="1"/>
  <c r="B158" i="1"/>
  <c r="A158" i="1"/>
  <c r="B157" i="1"/>
  <c r="A157" i="1"/>
  <c r="B156" i="1"/>
  <c r="A156" i="1"/>
  <c r="B155" i="1"/>
  <c r="A155" i="1"/>
  <c r="B154" i="1"/>
  <c r="A154" i="1"/>
  <c r="B153" i="1"/>
  <c r="A153" i="1"/>
  <c r="B152" i="1"/>
  <c r="A152" i="1"/>
  <c r="B151" i="1"/>
  <c r="A151" i="1"/>
  <c r="B150" i="1"/>
  <c r="A150" i="1"/>
  <c r="B149" i="1"/>
  <c r="A149" i="1"/>
  <c r="B148" i="1"/>
  <c r="A148" i="1"/>
  <c r="B147" i="1"/>
  <c r="A147" i="1"/>
  <c r="B146" i="1"/>
  <c r="A146" i="1"/>
  <c r="B145" i="1"/>
  <c r="A145" i="1"/>
  <c r="B144" i="1"/>
  <c r="A144" i="1"/>
  <c r="B143" i="1"/>
  <c r="A143" i="1"/>
  <c r="B142" i="1"/>
  <c r="A142" i="1"/>
  <c r="B141" i="1"/>
  <c r="A141" i="1"/>
  <c r="B140" i="1"/>
  <c r="A140" i="1"/>
  <c r="B139" i="1"/>
  <c r="A139" i="1"/>
  <c r="B138" i="1"/>
  <c r="A138" i="1"/>
  <c r="B137" i="1"/>
  <c r="A137" i="1"/>
  <c r="B136" i="1"/>
  <c r="A136" i="1"/>
  <c r="B135" i="1"/>
  <c r="A135" i="1"/>
  <c r="B134" i="1"/>
  <c r="A134" i="1"/>
  <c r="B133" i="1"/>
  <c r="A133" i="1"/>
  <c r="B132" i="1"/>
  <c r="A132" i="1"/>
  <c r="B131" i="1"/>
  <c r="A131" i="1"/>
  <c r="B130" i="1"/>
  <c r="A130" i="1"/>
  <c r="B129" i="1"/>
  <c r="A129" i="1"/>
  <c r="B128" i="1"/>
  <c r="A128" i="1"/>
  <c r="B127" i="1"/>
  <c r="A127" i="1"/>
  <c r="B126" i="1"/>
  <c r="A126" i="1"/>
  <c r="B125" i="1"/>
  <c r="A125" i="1"/>
  <c r="B124" i="1"/>
  <c r="A124" i="1"/>
  <c r="B123" i="1"/>
  <c r="A123" i="1"/>
  <c r="B122" i="1"/>
  <c r="A122" i="1"/>
  <c r="B121" i="1"/>
  <c r="A121" i="1"/>
  <c r="B120" i="1"/>
  <c r="A120" i="1"/>
  <c r="B119" i="1"/>
  <c r="A119" i="1"/>
  <c r="B118" i="1"/>
  <c r="A118" i="1"/>
  <c r="B117" i="1"/>
  <c r="A117" i="1"/>
  <c r="B116" i="1"/>
  <c r="A116" i="1"/>
  <c r="B115" i="1"/>
  <c r="A115" i="1"/>
  <c r="B114" i="1"/>
  <c r="A114" i="1"/>
  <c r="B113" i="1"/>
  <c r="A113" i="1"/>
  <c r="B112" i="1"/>
  <c r="A112" i="1"/>
  <c r="B111" i="1"/>
  <c r="A111" i="1"/>
  <c r="B110" i="1"/>
  <c r="A110" i="1"/>
  <c r="B109" i="1"/>
  <c r="A109" i="1"/>
  <c r="B108" i="1"/>
  <c r="A108" i="1"/>
  <c r="B107" i="1"/>
  <c r="A107" i="1"/>
  <c r="B106" i="1"/>
  <c r="A106" i="1"/>
  <c r="B105" i="1"/>
  <c r="A105" i="1"/>
  <c r="B104" i="1"/>
  <c r="A104" i="1"/>
  <c r="B103" i="1"/>
  <c r="A103" i="1"/>
  <c r="B102" i="1"/>
  <c r="A102" i="1"/>
  <c r="B101" i="1"/>
  <c r="A101" i="1"/>
  <c r="B100" i="1"/>
  <c r="A100" i="1"/>
  <c r="B99" i="1"/>
  <c r="A99" i="1"/>
  <c r="B98" i="1"/>
  <c r="A98" i="1"/>
  <c r="B97" i="1"/>
  <c r="A97" i="1"/>
  <c r="B96" i="1"/>
  <c r="A96" i="1"/>
  <c r="B95" i="1"/>
  <c r="A95" i="1"/>
  <c r="B94" i="1"/>
  <c r="A94" i="1"/>
  <c r="B93" i="1"/>
  <c r="A93" i="1"/>
  <c r="B92" i="1"/>
  <c r="A92" i="1"/>
  <c r="B91" i="1"/>
  <c r="A91" i="1"/>
  <c r="B90" i="1"/>
  <c r="A90" i="1"/>
  <c r="B89" i="1"/>
  <c r="A89" i="1"/>
  <c r="B88" i="1"/>
  <c r="A88" i="1"/>
  <c r="B87" i="1"/>
  <c r="A87" i="1"/>
  <c r="B86" i="1"/>
  <c r="A86" i="1"/>
  <c r="B85" i="1"/>
  <c r="A85" i="1"/>
  <c r="B84" i="1"/>
  <c r="A84" i="1"/>
  <c r="B83" i="1"/>
  <c r="A83" i="1"/>
  <c r="B82" i="1"/>
  <c r="A82" i="1"/>
  <c r="B81" i="1"/>
  <c r="A81" i="1"/>
  <c r="B80" i="1"/>
  <c r="A80" i="1"/>
  <c r="B79" i="1"/>
  <c r="A79" i="1"/>
  <c r="B78" i="1"/>
  <c r="A78" i="1"/>
  <c r="B77" i="1"/>
  <c r="A77" i="1"/>
  <c r="B76" i="1"/>
  <c r="A76" i="1"/>
  <c r="B75" i="1"/>
  <c r="A75" i="1"/>
  <c r="B74" i="1"/>
  <c r="A74" i="1"/>
  <c r="B73" i="1"/>
  <c r="A73" i="1"/>
  <c r="B72" i="1"/>
  <c r="A72" i="1"/>
  <c r="B71" i="1"/>
  <c r="A71" i="1"/>
  <c r="B70" i="1"/>
  <c r="A70" i="1"/>
  <c r="B69" i="1"/>
  <c r="A69" i="1"/>
  <c r="B68" i="1"/>
  <c r="A68" i="1"/>
  <c r="B67" i="1"/>
  <c r="A67" i="1"/>
  <c r="B66" i="1"/>
  <c r="A66" i="1"/>
  <c r="B65" i="1"/>
  <c r="A65" i="1"/>
  <c r="B64" i="1"/>
  <c r="A64" i="1"/>
  <c r="B63" i="1"/>
  <c r="A63" i="1"/>
  <c r="B62" i="1"/>
  <c r="A62" i="1"/>
  <c r="B61" i="1"/>
  <c r="A61" i="1"/>
  <c r="B60" i="1"/>
  <c r="A60" i="1"/>
  <c r="B59" i="1"/>
  <c r="A59" i="1"/>
  <c r="B58" i="1"/>
  <c r="A58" i="1"/>
  <c r="B57" i="1"/>
  <c r="A57" i="1"/>
  <c r="B56" i="1"/>
  <c r="A56" i="1"/>
  <c r="B55" i="1"/>
  <c r="A55" i="1"/>
  <c r="B54" i="1"/>
  <c r="A54" i="1"/>
  <c r="B53" i="1"/>
  <c r="A53" i="1"/>
  <c r="B52" i="1"/>
  <c r="A52" i="1"/>
  <c r="B51" i="1"/>
  <c r="A51" i="1"/>
  <c r="B50" i="1"/>
  <c r="A50" i="1"/>
  <c r="B49" i="1"/>
  <c r="A49" i="1"/>
  <c r="B48" i="1"/>
  <c r="A48" i="1"/>
  <c r="B47" i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B39" i="1"/>
  <c r="A39" i="1"/>
  <c r="B38" i="1"/>
  <c r="A38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B4" i="1"/>
  <c r="A4" i="1"/>
  <c r="B3" i="1"/>
  <c r="A3" i="1"/>
  <c r="B2" i="1"/>
  <c r="A2" i="1"/>
  <c r="B1" i="1"/>
  <c r="A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69"/>
  <sheetViews>
    <sheetView tabSelected="1" workbookViewId="0">
      <selection activeCell="A9" sqref="A9"/>
    </sheetView>
  </sheetViews>
  <sheetFormatPr defaultColWidth="12.6640625" defaultRowHeight="15.75" customHeight="1" x14ac:dyDescent="0.25"/>
  <cols>
    <col min="1" max="1" width="34.44140625" customWidth="1"/>
    <col min="4" max="4" width="18.21875" customWidth="1"/>
  </cols>
  <sheetData>
    <row r="1" spans="1:4" x14ac:dyDescent="0.25">
      <c r="A1" s="1" t="str">
        <f ca="1">IFERROR(__xludf.DUMMYFUNCTION("GOOGLEFINANCE(""BABA"", ""price"", ""1/1/2024"", ""31/8/2024"", ""DAILY"")"),"Date")</f>
        <v>Date</v>
      </c>
      <c r="B1" s="1" t="str">
        <f ca="1">IFERROR(__xludf.DUMMYFUNCTION("""COMPUTED_VALUE"""),"Close")</f>
        <v>Close</v>
      </c>
      <c r="D1" s="1"/>
    </row>
    <row r="2" spans="1:4" x14ac:dyDescent="0.25">
      <c r="A2" s="2">
        <f ca="1">IFERROR(__xludf.DUMMYFUNCTION("""COMPUTED_VALUE"""),45293.6666666666)</f>
        <v>45293.666666666599</v>
      </c>
      <c r="B2" s="1">
        <f ca="1">IFERROR(__xludf.DUMMYFUNCTION("""COMPUTED_VALUE"""),74.76)</f>
        <v>74.760000000000005</v>
      </c>
      <c r="D2" s="1"/>
    </row>
    <row r="3" spans="1:4" x14ac:dyDescent="0.25">
      <c r="A3" s="2">
        <f ca="1">IFERROR(__xludf.DUMMYFUNCTION("""COMPUTED_VALUE"""),45294.6666666666)</f>
        <v>45294.666666666599</v>
      </c>
      <c r="B3" s="1">
        <f ca="1">IFERROR(__xludf.DUMMYFUNCTION("""COMPUTED_VALUE"""),76.59)</f>
        <v>76.59</v>
      </c>
    </row>
    <row r="4" spans="1:4" x14ac:dyDescent="0.25">
      <c r="A4" s="2">
        <f ca="1">IFERROR(__xludf.DUMMYFUNCTION("""COMPUTED_VALUE"""),45295.6666666666)</f>
        <v>45295.666666666599</v>
      </c>
      <c r="B4" s="1">
        <f ca="1">IFERROR(__xludf.DUMMYFUNCTION("""COMPUTED_VALUE"""),74.66)</f>
        <v>74.66</v>
      </c>
    </row>
    <row r="5" spans="1:4" x14ac:dyDescent="0.25">
      <c r="A5" s="2">
        <f ca="1">IFERROR(__xludf.DUMMYFUNCTION("""COMPUTED_VALUE"""),45296.6666666666)</f>
        <v>45296.666666666599</v>
      </c>
      <c r="B5" s="1">
        <f ca="1">IFERROR(__xludf.DUMMYFUNCTION("""COMPUTED_VALUE"""),73.01)</f>
        <v>73.010000000000005</v>
      </c>
    </row>
    <row r="6" spans="1:4" x14ac:dyDescent="0.25">
      <c r="A6" s="2">
        <f ca="1">IFERROR(__xludf.DUMMYFUNCTION("""COMPUTED_VALUE"""),45299.6666666666)</f>
        <v>45299.666666666599</v>
      </c>
      <c r="B6" s="1">
        <f ca="1">IFERROR(__xludf.DUMMYFUNCTION("""COMPUTED_VALUE"""),72.88)</f>
        <v>72.88</v>
      </c>
    </row>
    <row r="7" spans="1:4" x14ac:dyDescent="0.25">
      <c r="A7" s="2">
        <f ca="1">IFERROR(__xludf.DUMMYFUNCTION("""COMPUTED_VALUE"""),45300.6666666666)</f>
        <v>45300.666666666599</v>
      </c>
      <c r="B7" s="1">
        <f ca="1">IFERROR(__xludf.DUMMYFUNCTION("""COMPUTED_VALUE"""),72.02)</f>
        <v>72.02</v>
      </c>
    </row>
    <row r="8" spans="1:4" x14ac:dyDescent="0.25">
      <c r="A8" s="2">
        <f ca="1">IFERROR(__xludf.DUMMYFUNCTION("""COMPUTED_VALUE"""),45301.6666666666)</f>
        <v>45301.666666666599</v>
      </c>
      <c r="B8" s="1">
        <f ca="1">IFERROR(__xludf.DUMMYFUNCTION("""COMPUTED_VALUE"""),71.41)</f>
        <v>71.41</v>
      </c>
    </row>
    <row r="9" spans="1:4" x14ac:dyDescent="0.25">
      <c r="A9" s="2">
        <f ca="1">IFERROR(__xludf.DUMMYFUNCTION("""COMPUTED_VALUE"""),45302.6666666666)</f>
        <v>45302.666666666599</v>
      </c>
      <c r="B9" s="1">
        <f ca="1">IFERROR(__xludf.DUMMYFUNCTION("""COMPUTED_VALUE"""),72.38)</f>
        <v>72.38</v>
      </c>
    </row>
    <row r="10" spans="1:4" x14ac:dyDescent="0.25">
      <c r="A10" s="2">
        <f ca="1">IFERROR(__xludf.DUMMYFUNCTION("""COMPUTED_VALUE"""),45303.6666666666)</f>
        <v>45303.666666666599</v>
      </c>
      <c r="B10" s="1">
        <f ca="1">IFERROR(__xludf.DUMMYFUNCTION("""COMPUTED_VALUE"""),71.84)</f>
        <v>71.84</v>
      </c>
    </row>
    <row r="11" spans="1:4" x14ac:dyDescent="0.25">
      <c r="A11" s="2">
        <f ca="1">IFERROR(__xludf.DUMMYFUNCTION("""COMPUTED_VALUE"""),45307.6666666666)</f>
        <v>45307.666666666599</v>
      </c>
      <c r="B11" s="1">
        <f ca="1">IFERROR(__xludf.DUMMYFUNCTION("""COMPUTED_VALUE"""),69.46)</f>
        <v>69.459999999999994</v>
      </c>
    </row>
    <row r="12" spans="1:4" x14ac:dyDescent="0.25">
      <c r="A12" s="2">
        <f ca="1">IFERROR(__xludf.DUMMYFUNCTION("""COMPUTED_VALUE"""),45308.6666666666)</f>
        <v>45308.666666666599</v>
      </c>
      <c r="B12" s="1">
        <f ca="1">IFERROR(__xludf.DUMMYFUNCTION("""COMPUTED_VALUE"""),68.93)</f>
        <v>68.930000000000007</v>
      </c>
    </row>
    <row r="13" spans="1:4" x14ac:dyDescent="0.25">
      <c r="A13" s="2">
        <f ca="1">IFERROR(__xludf.DUMMYFUNCTION("""COMPUTED_VALUE"""),45309.6666666666)</f>
        <v>45309.666666666599</v>
      </c>
      <c r="B13" s="1">
        <f ca="1">IFERROR(__xludf.DUMMYFUNCTION("""COMPUTED_VALUE"""),68.05)</f>
        <v>68.05</v>
      </c>
    </row>
    <row r="14" spans="1:4" x14ac:dyDescent="0.25">
      <c r="A14" s="2">
        <f ca="1">IFERROR(__xludf.DUMMYFUNCTION("""COMPUTED_VALUE"""),45310.6666666666)</f>
        <v>45310.666666666599</v>
      </c>
      <c r="B14" s="1">
        <f ca="1">IFERROR(__xludf.DUMMYFUNCTION("""COMPUTED_VALUE"""),69.42)</f>
        <v>69.42</v>
      </c>
    </row>
    <row r="15" spans="1:4" x14ac:dyDescent="0.25">
      <c r="A15" s="2">
        <f ca="1">IFERROR(__xludf.DUMMYFUNCTION("""COMPUTED_VALUE"""),45313.6666666666)</f>
        <v>45313.666666666599</v>
      </c>
      <c r="B15" s="1">
        <f ca="1">IFERROR(__xludf.DUMMYFUNCTION("""COMPUTED_VALUE"""),68.63)</f>
        <v>68.63</v>
      </c>
    </row>
    <row r="16" spans="1:4" x14ac:dyDescent="0.25">
      <c r="A16" s="2">
        <f ca="1">IFERROR(__xludf.DUMMYFUNCTION("""COMPUTED_VALUE"""),45314.6666666666)</f>
        <v>45314.666666666599</v>
      </c>
      <c r="B16" s="1">
        <f ca="1">IFERROR(__xludf.DUMMYFUNCTION("""COMPUTED_VALUE"""),74.02)</f>
        <v>74.02</v>
      </c>
    </row>
    <row r="17" spans="1:2" x14ac:dyDescent="0.25">
      <c r="A17" s="2">
        <f ca="1">IFERROR(__xludf.DUMMYFUNCTION("""COMPUTED_VALUE"""),45315.6666666666)</f>
        <v>45315.666666666599</v>
      </c>
      <c r="B17" s="1">
        <f ca="1">IFERROR(__xludf.DUMMYFUNCTION("""COMPUTED_VALUE"""),75.2)</f>
        <v>75.2</v>
      </c>
    </row>
    <row r="18" spans="1:2" x14ac:dyDescent="0.25">
      <c r="A18" s="2">
        <f ca="1">IFERROR(__xludf.DUMMYFUNCTION("""COMPUTED_VALUE"""),45316.6666666666)</f>
        <v>45316.666666666599</v>
      </c>
      <c r="B18" s="1">
        <f ca="1">IFERROR(__xludf.DUMMYFUNCTION("""COMPUTED_VALUE"""),73.85)</f>
        <v>73.849999999999994</v>
      </c>
    </row>
    <row r="19" spans="1:2" x14ac:dyDescent="0.25">
      <c r="A19" s="2">
        <f ca="1">IFERROR(__xludf.DUMMYFUNCTION("""COMPUTED_VALUE"""),45317.6666666666)</f>
        <v>45317.666666666599</v>
      </c>
      <c r="B19" s="1">
        <f ca="1">IFERROR(__xludf.DUMMYFUNCTION("""COMPUTED_VALUE"""),74.01)</f>
        <v>74.010000000000005</v>
      </c>
    </row>
    <row r="20" spans="1:2" x14ac:dyDescent="0.25">
      <c r="A20" s="2">
        <f ca="1">IFERROR(__xludf.DUMMYFUNCTION("""COMPUTED_VALUE"""),45320.6666666666)</f>
        <v>45320.666666666599</v>
      </c>
      <c r="B20" s="1">
        <f ca="1">IFERROR(__xludf.DUMMYFUNCTION("""COMPUTED_VALUE"""),73.58)</f>
        <v>73.58</v>
      </c>
    </row>
    <row r="21" spans="1:2" x14ac:dyDescent="0.25">
      <c r="A21" s="2">
        <f ca="1">IFERROR(__xludf.DUMMYFUNCTION("""COMPUTED_VALUE"""),45321.6666666666)</f>
        <v>45321.666666666599</v>
      </c>
      <c r="B21" s="1">
        <f ca="1">IFERROR(__xludf.DUMMYFUNCTION("""COMPUTED_VALUE"""),72.32)</f>
        <v>72.319999999999993</v>
      </c>
    </row>
    <row r="22" spans="1:2" x14ac:dyDescent="0.25">
      <c r="A22" s="2">
        <f ca="1">IFERROR(__xludf.DUMMYFUNCTION("""COMPUTED_VALUE"""),45322.6666666666)</f>
        <v>45322.666666666599</v>
      </c>
      <c r="B22" s="1">
        <f ca="1">IFERROR(__xludf.DUMMYFUNCTION("""COMPUTED_VALUE"""),72.17)</f>
        <v>72.17</v>
      </c>
    </row>
    <row r="23" spans="1:2" x14ac:dyDescent="0.25">
      <c r="A23" s="2">
        <f ca="1">IFERROR(__xludf.DUMMYFUNCTION("""COMPUTED_VALUE"""),45323.6666666666)</f>
        <v>45323.666666666599</v>
      </c>
      <c r="B23" s="1">
        <f ca="1">IFERROR(__xludf.DUMMYFUNCTION("""COMPUTED_VALUE"""),72.46)</f>
        <v>72.459999999999994</v>
      </c>
    </row>
    <row r="24" spans="1:2" x14ac:dyDescent="0.25">
      <c r="A24" s="2">
        <f ca="1">IFERROR(__xludf.DUMMYFUNCTION("""COMPUTED_VALUE"""),45324.6666666666)</f>
        <v>45324.666666666599</v>
      </c>
      <c r="B24" s="1">
        <f ca="1">IFERROR(__xludf.DUMMYFUNCTION("""COMPUTED_VALUE"""),71.85)</f>
        <v>71.849999999999994</v>
      </c>
    </row>
    <row r="25" spans="1:2" x14ac:dyDescent="0.25">
      <c r="A25" s="2">
        <f ca="1">IFERROR(__xludf.DUMMYFUNCTION("""COMPUTED_VALUE"""),45327.6666666666)</f>
        <v>45327.666666666599</v>
      </c>
      <c r="B25" s="1">
        <f ca="1">IFERROR(__xludf.DUMMYFUNCTION("""COMPUTED_VALUE"""),74.63)</f>
        <v>74.63</v>
      </c>
    </row>
    <row r="26" spans="1:2" x14ac:dyDescent="0.25">
      <c r="A26" s="2">
        <f ca="1">IFERROR(__xludf.DUMMYFUNCTION("""COMPUTED_VALUE"""),45328.6666666666)</f>
        <v>45328.666666666599</v>
      </c>
      <c r="B26" s="1">
        <f ca="1">IFERROR(__xludf.DUMMYFUNCTION("""COMPUTED_VALUE"""),78.23)</f>
        <v>78.23</v>
      </c>
    </row>
    <row r="27" spans="1:2" x14ac:dyDescent="0.25">
      <c r="A27" s="2">
        <f ca="1">IFERROR(__xludf.DUMMYFUNCTION("""COMPUTED_VALUE"""),45329.6666666666)</f>
        <v>45329.666666666599</v>
      </c>
      <c r="B27" s="1">
        <f ca="1">IFERROR(__xludf.DUMMYFUNCTION("""COMPUTED_VALUE"""),73.64)</f>
        <v>73.64</v>
      </c>
    </row>
    <row r="28" spans="1:2" x14ac:dyDescent="0.25">
      <c r="A28" s="2">
        <f ca="1">IFERROR(__xludf.DUMMYFUNCTION("""COMPUTED_VALUE"""),45330.6666666666)</f>
        <v>45330.666666666599</v>
      </c>
      <c r="B28" s="1">
        <f ca="1">IFERROR(__xludf.DUMMYFUNCTION("""COMPUTED_VALUE"""),70.78)</f>
        <v>70.78</v>
      </c>
    </row>
    <row r="29" spans="1:2" x14ac:dyDescent="0.25">
      <c r="A29" s="2">
        <f ca="1">IFERROR(__xludf.DUMMYFUNCTION("""COMPUTED_VALUE"""),45331.6666666666)</f>
        <v>45331.666666666599</v>
      </c>
      <c r="B29" s="1">
        <f ca="1">IFERROR(__xludf.DUMMYFUNCTION("""COMPUTED_VALUE"""),72.02)</f>
        <v>72.02</v>
      </c>
    </row>
    <row r="30" spans="1:2" x14ac:dyDescent="0.25">
      <c r="A30" s="2">
        <f ca="1">IFERROR(__xludf.DUMMYFUNCTION("""COMPUTED_VALUE"""),45334.6666666666)</f>
        <v>45334.666666666599</v>
      </c>
      <c r="B30" s="1">
        <f ca="1">IFERROR(__xludf.DUMMYFUNCTION("""COMPUTED_VALUE"""),73.14)</f>
        <v>73.14</v>
      </c>
    </row>
    <row r="31" spans="1:2" x14ac:dyDescent="0.25">
      <c r="A31" s="2">
        <f ca="1">IFERROR(__xludf.DUMMYFUNCTION("""COMPUTED_VALUE"""),45335.6666666666)</f>
        <v>45335.666666666599</v>
      </c>
      <c r="B31" s="1">
        <f ca="1">IFERROR(__xludf.DUMMYFUNCTION("""COMPUTED_VALUE"""),71.6)</f>
        <v>71.599999999999994</v>
      </c>
    </row>
    <row r="32" spans="1:2" x14ac:dyDescent="0.25">
      <c r="A32" s="2">
        <f ca="1">IFERROR(__xludf.DUMMYFUNCTION("""COMPUTED_VALUE"""),45336.6666666666)</f>
        <v>45336.666666666599</v>
      </c>
      <c r="B32" s="1">
        <f ca="1">IFERROR(__xludf.DUMMYFUNCTION("""COMPUTED_VALUE"""),73.39)</f>
        <v>73.39</v>
      </c>
    </row>
    <row r="33" spans="1:2" x14ac:dyDescent="0.25">
      <c r="A33" s="2">
        <f ca="1">IFERROR(__xludf.DUMMYFUNCTION("""COMPUTED_VALUE"""),45337.6666666666)</f>
        <v>45337.666666666599</v>
      </c>
      <c r="B33" s="1">
        <f ca="1">IFERROR(__xludf.DUMMYFUNCTION("""COMPUTED_VALUE"""),73.82)</f>
        <v>73.819999999999993</v>
      </c>
    </row>
    <row r="34" spans="1:2" x14ac:dyDescent="0.25">
      <c r="A34" s="2">
        <f ca="1">IFERROR(__xludf.DUMMYFUNCTION("""COMPUTED_VALUE"""),45338.6666666666)</f>
        <v>45338.666666666599</v>
      </c>
      <c r="B34" s="1">
        <f ca="1">IFERROR(__xludf.DUMMYFUNCTION("""COMPUTED_VALUE"""),73.91)</f>
        <v>73.91</v>
      </c>
    </row>
    <row r="35" spans="1:2" x14ac:dyDescent="0.25">
      <c r="A35" s="2">
        <f ca="1">IFERROR(__xludf.DUMMYFUNCTION("""COMPUTED_VALUE"""),45342.6666666666)</f>
        <v>45342.666666666599</v>
      </c>
      <c r="B35" s="1">
        <f ca="1">IFERROR(__xludf.DUMMYFUNCTION("""COMPUTED_VALUE"""),73.14)</f>
        <v>73.14</v>
      </c>
    </row>
    <row r="36" spans="1:2" x14ac:dyDescent="0.25">
      <c r="A36" s="2">
        <f ca="1">IFERROR(__xludf.DUMMYFUNCTION("""COMPUTED_VALUE"""),45343.6666666666)</f>
        <v>45343.666666666599</v>
      </c>
      <c r="B36" s="1">
        <f ca="1">IFERROR(__xludf.DUMMYFUNCTION("""COMPUTED_VALUE"""),75.58)</f>
        <v>75.58</v>
      </c>
    </row>
    <row r="37" spans="1:2" x14ac:dyDescent="0.25">
      <c r="A37" s="2">
        <f ca="1">IFERROR(__xludf.DUMMYFUNCTION("""COMPUTED_VALUE"""),45344.6666666666)</f>
        <v>45344.666666666599</v>
      </c>
      <c r="B37" s="1">
        <f ca="1">IFERROR(__xludf.DUMMYFUNCTION("""COMPUTED_VALUE"""),76.12)</f>
        <v>76.12</v>
      </c>
    </row>
    <row r="38" spans="1:2" x14ac:dyDescent="0.25">
      <c r="A38" s="2">
        <f ca="1">IFERROR(__xludf.DUMMYFUNCTION("""COMPUTED_VALUE"""),45345.6666666666)</f>
        <v>45345.666666666599</v>
      </c>
      <c r="B38" s="1">
        <f ca="1">IFERROR(__xludf.DUMMYFUNCTION("""COMPUTED_VALUE"""),75.96)</f>
        <v>75.959999999999994</v>
      </c>
    </row>
    <row r="39" spans="1:2" x14ac:dyDescent="0.25">
      <c r="A39" s="2">
        <f ca="1">IFERROR(__xludf.DUMMYFUNCTION("""COMPUTED_VALUE"""),45348.6666666666)</f>
        <v>45348.666666666599</v>
      </c>
      <c r="B39" s="1">
        <f ca="1">IFERROR(__xludf.DUMMYFUNCTION("""COMPUTED_VALUE"""),76.51)</f>
        <v>76.510000000000005</v>
      </c>
    </row>
    <row r="40" spans="1:2" x14ac:dyDescent="0.25">
      <c r="A40" s="2">
        <f ca="1">IFERROR(__xludf.DUMMYFUNCTION("""COMPUTED_VALUE"""),45349.6666666666)</f>
        <v>45349.666666666599</v>
      </c>
      <c r="B40" s="1">
        <f ca="1">IFERROR(__xludf.DUMMYFUNCTION("""COMPUTED_VALUE"""),77.68)</f>
        <v>77.680000000000007</v>
      </c>
    </row>
    <row r="41" spans="1:2" x14ac:dyDescent="0.25">
      <c r="A41" s="2">
        <f ca="1">IFERROR(__xludf.DUMMYFUNCTION("""COMPUTED_VALUE"""),45350.6666666666)</f>
        <v>45350.666666666599</v>
      </c>
      <c r="B41" s="1">
        <f ca="1">IFERROR(__xludf.DUMMYFUNCTION("""COMPUTED_VALUE"""),74.59)</f>
        <v>74.59</v>
      </c>
    </row>
    <row r="42" spans="1:2" x14ac:dyDescent="0.25">
      <c r="A42" s="2">
        <f ca="1">IFERROR(__xludf.DUMMYFUNCTION("""COMPUTED_VALUE"""),45351.6666666666)</f>
        <v>45351.666666666599</v>
      </c>
      <c r="B42" s="1">
        <f ca="1">IFERROR(__xludf.DUMMYFUNCTION("""COMPUTED_VALUE"""),74.03)</f>
        <v>74.03</v>
      </c>
    </row>
    <row r="43" spans="1:2" x14ac:dyDescent="0.25">
      <c r="A43" s="2">
        <f ca="1">IFERROR(__xludf.DUMMYFUNCTION("""COMPUTED_VALUE"""),45352.6666666666)</f>
        <v>45352.666666666599</v>
      </c>
      <c r="B43" s="1">
        <f ca="1">IFERROR(__xludf.DUMMYFUNCTION("""COMPUTED_VALUE"""),74.62)</f>
        <v>74.62</v>
      </c>
    </row>
    <row r="44" spans="1:2" x14ac:dyDescent="0.25">
      <c r="A44" s="2">
        <f ca="1">IFERROR(__xludf.DUMMYFUNCTION("""COMPUTED_VALUE"""),45355.6666666666)</f>
        <v>45355.666666666599</v>
      </c>
      <c r="B44" s="1">
        <f ca="1">IFERROR(__xludf.DUMMYFUNCTION("""COMPUTED_VALUE"""),72)</f>
        <v>72</v>
      </c>
    </row>
    <row r="45" spans="1:2" x14ac:dyDescent="0.25">
      <c r="A45" s="2">
        <f ca="1">IFERROR(__xludf.DUMMYFUNCTION("""COMPUTED_VALUE"""),45356.6666666666)</f>
        <v>45356.666666666599</v>
      </c>
      <c r="B45" s="1">
        <f ca="1">IFERROR(__xludf.DUMMYFUNCTION("""COMPUTED_VALUE"""),72.07)</f>
        <v>72.069999999999993</v>
      </c>
    </row>
    <row r="46" spans="1:2" x14ac:dyDescent="0.25">
      <c r="A46" s="2">
        <f ca="1">IFERROR(__xludf.DUMMYFUNCTION("""COMPUTED_VALUE"""),45357.6666666666)</f>
        <v>45357.666666666599</v>
      </c>
      <c r="B46" s="1">
        <f ca="1">IFERROR(__xludf.DUMMYFUNCTION("""COMPUTED_VALUE"""),73.71)</f>
        <v>73.709999999999994</v>
      </c>
    </row>
    <row r="47" spans="1:2" x14ac:dyDescent="0.25">
      <c r="A47" s="2">
        <f ca="1">IFERROR(__xludf.DUMMYFUNCTION("""COMPUTED_VALUE"""),45358.6666666666)</f>
        <v>45358.666666666599</v>
      </c>
      <c r="B47" s="1">
        <f ca="1">IFERROR(__xludf.DUMMYFUNCTION("""COMPUTED_VALUE"""),72.54)</f>
        <v>72.540000000000006</v>
      </c>
    </row>
    <row r="48" spans="1:2" x14ac:dyDescent="0.25">
      <c r="A48" s="2">
        <f ca="1">IFERROR(__xludf.DUMMYFUNCTION("""COMPUTED_VALUE"""),45359.6666666666)</f>
        <v>45359.666666666599</v>
      </c>
      <c r="B48" s="1">
        <f ca="1">IFERROR(__xludf.DUMMYFUNCTION("""COMPUTED_VALUE"""),73.55)</f>
        <v>73.55</v>
      </c>
    </row>
    <row r="49" spans="1:2" x14ac:dyDescent="0.25">
      <c r="A49" s="2">
        <f ca="1">IFERROR(__xludf.DUMMYFUNCTION("""COMPUTED_VALUE"""),45362.6666666666)</f>
        <v>45362.666666666599</v>
      </c>
      <c r="B49" s="1">
        <f ca="1">IFERROR(__xludf.DUMMYFUNCTION("""COMPUTED_VALUE"""),74.86)</f>
        <v>74.86</v>
      </c>
    </row>
    <row r="50" spans="1:2" x14ac:dyDescent="0.25">
      <c r="A50" s="2">
        <f ca="1">IFERROR(__xludf.DUMMYFUNCTION("""COMPUTED_VALUE"""),45363.6666666666)</f>
        <v>45363.666666666599</v>
      </c>
      <c r="B50" s="1">
        <f ca="1">IFERROR(__xludf.DUMMYFUNCTION("""COMPUTED_VALUE"""),76.06)</f>
        <v>76.06</v>
      </c>
    </row>
    <row r="51" spans="1:2" x14ac:dyDescent="0.25">
      <c r="A51" s="2">
        <f ca="1">IFERROR(__xludf.DUMMYFUNCTION("""COMPUTED_VALUE"""),45364.6666666666)</f>
        <v>45364.666666666599</v>
      </c>
      <c r="B51" s="1">
        <f ca="1">IFERROR(__xludf.DUMMYFUNCTION("""COMPUTED_VALUE"""),76.39)</f>
        <v>76.39</v>
      </c>
    </row>
    <row r="52" spans="1:2" x14ac:dyDescent="0.25">
      <c r="A52" s="2">
        <f ca="1">IFERROR(__xludf.DUMMYFUNCTION("""COMPUTED_VALUE"""),45365.6666666666)</f>
        <v>45365.666666666599</v>
      </c>
      <c r="B52" s="1">
        <f ca="1">IFERROR(__xludf.DUMMYFUNCTION("""COMPUTED_VALUE"""),73.4)</f>
        <v>73.400000000000006</v>
      </c>
    </row>
    <row r="53" spans="1:2" x14ac:dyDescent="0.25">
      <c r="A53" s="2">
        <f ca="1">IFERROR(__xludf.DUMMYFUNCTION("""COMPUTED_VALUE"""),45366.6666666666)</f>
        <v>45366.666666666599</v>
      </c>
      <c r="B53" s="1">
        <f ca="1">IFERROR(__xludf.DUMMYFUNCTION("""COMPUTED_VALUE"""),73.42)</f>
        <v>73.42</v>
      </c>
    </row>
    <row r="54" spans="1:2" x14ac:dyDescent="0.25">
      <c r="A54" s="2">
        <f ca="1">IFERROR(__xludf.DUMMYFUNCTION("""COMPUTED_VALUE"""),45369.6666666666)</f>
        <v>45369.666666666599</v>
      </c>
      <c r="B54" s="1">
        <f ca="1">IFERROR(__xludf.DUMMYFUNCTION("""COMPUTED_VALUE"""),73.52)</f>
        <v>73.52</v>
      </c>
    </row>
    <row r="55" spans="1:2" x14ac:dyDescent="0.25">
      <c r="A55" s="2">
        <f ca="1">IFERROR(__xludf.DUMMYFUNCTION("""COMPUTED_VALUE"""),45370.6666666666)</f>
        <v>45370.666666666599</v>
      </c>
      <c r="B55" s="1">
        <f ca="1">IFERROR(__xludf.DUMMYFUNCTION("""COMPUTED_VALUE"""),73.42)</f>
        <v>73.42</v>
      </c>
    </row>
    <row r="56" spans="1:2" x14ac:dyDescent="0.25">
      <c r="A56" s="2">
        <f ca="1">IFERROR(__xludf.DUMMYFUNCTION("""COMPUTED_VALUE"""),45371.6666666666)</f>
        <v>45371.666666666599</v>
      </c>
      <c r="B56" s="1">
        <f ca="1">IFERROR(__xludf.DUMMYFUNCTION("""COMPUTED_VALUE"""),74.18)</f>
        <v>74.180000000000007</v>
      </c>
    </row>
    <row r="57" spans="1:2" x14ac:dyDescent="0.25">
      <c r="A57" s="2">
        <f ca="1">IFERROR(__xludf.DUMMYFUNCTION("""COMPUTED_VALUE"""),45372.6666666666)</f>
        <v>45372.666666666599</v>
      </c>
      <c r="B57" s="1">
        <f ca="1">IFERROR(__xludf.DUMMYFUNCTION("""COMPUTED_VALUE"""),73.83)</f>
        <v>73.83</v>
      </c>
    </row>
    <row r="58" spans="1:2" x14ac:dyDescent="0.25">
      <c r="A58" s="2">
        <f ca="1">IFERROR(__xludf.DUMMYFUNCTION("""COMPUTED_VALUE"""),45373.6666666666)</f>
        <v>45373.666666666599</v>
      </c>
      <c r="B58" s="1">
        <f ca="1">IFERROR(__xludf.DUMMYFUNCTION("""COMPUTED_VALUE"""),72.13)</f>
        <v>72.13</v>
      </c>
    </row>
    <row r="59" spans="1:2" x14ac:dyDescent="0.25">
      <c r="A59" s="2">
        <f ca="1">IFERROR(__xludf.DUMMYFUNCTION("""COMPUTED_VALUE"""),45376.6666666666)</f>
        <v>45376.666666666599</v>
      </c>
      <c r="B59" s="1">
        <f ca="1">IFERROR(__xludf.DUMMYFUNCTION("""COMPUTED_VALUE"""),71.46)</f>
        <v>71.459999999999994</v>
      </c>
    </row>
    <row r="60" spans="1:2" x14ac:dyDescent="0.25">
      <c r="A60" s="2">
        <f ca="1">IFERROR(__xludf.DUMMYFUNCTION("""COMPUTED_VALUE"""),45377.6666666666)</f>
        <v>45377.666666666599</v>
      </c>
      <c r="B60" s="1">
        <f ca="1">IFERROR(__xludf.DUMMYFUNCTION("""COMPUTED_VALUE"""),71.48)</f>
        <v>71.48</v>
      </c>
    </row>
    <row r="61" spans="1:2" x14ac:dyDescent="0.25">
      <c r="A61" s="2">
        <f ca="1">IFERROR(__xludf.DUMMYFUNCTION("""COMPUTED_VALUE"""),45378.6666666666)</f>
        <v>45378.666666666599</v>
      </c>
      <c r="B61" s="1">
        <f ca="1">IFERROR(__xludf.DUMMYFUNCTION("""COMPUTED_VALUE"""),71.59)</f>
        <v>71.59</v>
      </c>
    </row>
    <row r="62" spans="1:2" x14ac:dyDescent="0.25">
      <c r="A62" s="2">
        <f ca="1">IFERROR(__xludf.DUMMYFUNCTION("""COMPUTED_VALUE"""),45379.6666666666)</f>
        <v>45379.666666666599</v>
      </c>
      <c r="B62" s="1">
        <f ca="1">IFERROR(__xludf.DUMMYFUNCTION("""COMPUTED_VALUE"""),72.36)</f>
        <v>72.36</v>
      </c>
    </row>
    <row r="63" spans="1:2" x14ac:dyDescent="0.25">
      <c r="A63" s="2">
        <f ca="1">IFERROR(__xludf.DUMMYFUNCTION("""COMPUTED_VALUE"""),45383.6666666666)</f>
        <v>45383.666666666599</v>
      </c>
      <c r="B63" s="1">
        <f ca="1">IFERROR(__xludf.DUMMYFUNCTION("""COMPUTED_VALUE"""),73.37)</f>
        <v>73.37</v>
      </c>
    </row>
    <row r="64" spans="1:2" x14ac:dyDescent="0.25">
      <c r="A64" s="2">
        <f ca="1">IFERROR(__xludf.DUMMYFUNCTION("""COMPUTED_VALUE"""),45384.6666666666)</f>
        <v>45384.666666666599</v>
      </c>
      <c r="B64" s="1">
        <f ca="1">IFERROR(__xludf.DUMMYFUNCTION("""COMPUTED_VALUE"""),72.88)</f>
        <v>72.88</v>
      </c>
    </row>
    <row r="65" spans="1:2" x14ac:dyDescent="0.25">
      <c r="A65" s="2">
        <f ca="1">IFERROR(__xludf.DUMMYFUNCTION("""COMPUTED_VALUE"""),45385.6666666666)</f>
        <v>45385.666666666599</v>
      </c>
      <c r="B65" s="1">
        <f ca="1">IFERROR(__xludf.DUMMYFUNCTION("""COMPUTED_VALUE"""),72.44)</f>
        <v>72.44</v>
      </c>
    </row>
    <row r="66" spans="1:2" x14ac:dyDescent="0.25">
      <c r="A66" s="2">
        <f ca="1">IFERROR(__xludf.DUMMYFUNCTION("""COMPUTED_VALUE"""),45386.6666666666)</f>
        <v>45386.666666666599</v>
      </c>
      <c r="B66" s="1">
        <f ca="1">IFERROR(__xludf.DUMMYFUNCTION("""COMPUTED_VALUE"""),71.95)</f>
        <v>71.95</v>
      </c>
    </row>
    <row r="67" spans="1:2" x14ac:dyDescent="0.25">
      <c r="A67" s="2">
        <f ca="1">IFERROR(__xludf.DUMMYFUNCTION("""COMPUTED_VALUE"""),45387.6666666666)</f>
        <v>45387.666666666599</v>
      </c>
      <c r="B67" s="1">
        <f ca="1">IFERROR(__xludf.DUMMYFUNCTION("""COMPUTED_VALUE"""),71.66)</f>
        <v>71.66</v>
      </c>
    </row>
    <row r="68" spans="1:2" x14ac:dyDescent="0.25">
      <c r="A68" s="2">
        <f ca="1">IFERROR(__xludf.DUMMYFUNCTION("""COMPUTED_VALUE"""),45390.6666666666)</f>
        <v>45390.666666666599</v>
      </c>
      <c r="B68" s="1">
        <f ca="1">IFERROR(__xludf.DUMMYFUNCTION("""COMPUTED_VALUE"""),71.71)</f>
        <v>71.709999999999994</v>
      </c>
    </row>
    <row r="69" spans="1:2" x14ac:dyDescent="0.25">
      <c r="A69" s="2">
        <f ca="1">IFERROR(__xludf.DUMMYFUNCTION("""COMPUTED_VALUE"""),45391.6666666666)</f>
        <v>45391.666666666599</v>
      </c>
      <c r="B69" s="1">
        <f ca="1">IFERROR(__xludf.DUMMYFUNCTION("""COMPUTED_VALUE"""),72.99)</f>
        <v>72.989999999999995</v>
      </c>
    </row>
    <row r="70" spans="1:2" x14ac:dyDescent="0.25">
      <c r="A70" s="2">
        <f ca="1">IFERROR(__xludf.DUMMYFUNCTION("""COMPUTED_VALUE"""),45392.6666666666)</f>
        <v>45392.666666666599</v>
      </c>
      <c r="B70" s="1">
        <f ca="1">IFERROR(__xludf.DUMMYFUNCTION("""COMPUTED_VALUE"""),74.59)</f>
        <v>74.59</v>
      </c>
    </row>
    <row r="71" spans="1:2" x14ac:dyDescent="0.25">
      <c r="A71" s="2">
        <f ca="1">IFERROR(__xludf.DUMMYFUNCTION("""COMPUTED_VALUE"""),45393.6666666666)</f>
        <v>45393.666666666599</v>
      </c>
      <c r="B71" s="1">
        <f ca="1">IFERROR(__xludf.DUMMYFUNCTION("""COMPUTED_VALUE"""),74.85)</f>
        <v>74.849999999999994</v>
      </c>
    </row>
    <row r="72" spans="1:2" x14ac:dyDescent="0.25">
      <c r="A72" s="2">
        <f ca="1">IFERROR(__xludf.DUMMYFUNCTION("""COMPUTED_VALUE"""),45394.6666666666)</f>
        <v>45394.666666666599</v>
      </c>
      <c r="B72" s="1">
        <f ca="1">IFERROR(__xludf.DUMMYFUNCTION("""COMPUTED_VALUE"""),71.29)</f>
        <v>71.290000000000006</v>
      </c>
    </row>
    <row r="73" spans="1:2" x14ac:dyDescent="0.25">
      <c r="A73" s="2">
        <f ca="1">IFERROR(__xludf.DUMMYFUNCTION("""COMPUTED_VALUE"""),45397.6666666666)</f>
        <v>45397.666666666599</v>
      </c>
      <c r="B73" s="1">
        <f ca="1">IFERROR(__xludf.DUMMYFUNCTION("""COMPUTED_VALUE"""),70.62)</f>
        <v>70.62</v>
      </c>
    </row>
    <row r="74" spans="1:2" x14ac:dyDescent="0.25">
      <c r="A74" s="2">
        <f ca="1">IFERROR(__xludf.DUMMYFUNCTION("""COMPUTED_VALUE"""),45398.6666666666)</f>
        <v>45398.666666666599</v>
      </c>
      <c r="B74" s="1">
        <f ca="1">IFERROR(__xludf.DUMMYFUNCTION("""COMPUTED_VALUE"""),69.61)</f>
        <v>69.61</v>
      </c>
    </row>
    <row r="75" spans="1:2" x14ac:dyDescent="0.25">
      <c r="A75" s="2">
        <f ca="1">IFERROR(__xludf.DUMMYFUNCTION("""COMPUTED_VALUE"""),45399.6666666666)</f>
        <v>45399.666666666599</v>
      </c>
      <c r="B75" s="1">
        <f ca="1">IFERROR(__xludf.DUMMYFUNCTION("""COMPUTED_VALUE"""),68.82)</f>
        <v>68.819999999999993</v>
      </c>
    </row>
    <row r="76" spans="1:2" x14ac:dyDescent="0.25">
      <c r="A76" s="2">
        <f ca="1">IFERROR(__xludf.DUMMYFUNCTION("""COMPUTED_VALUE"""),45400.6666666666)</f>
        <v>45400.666666666599</v>
      </c>
      <c r="B76" s="1">
        <f ca="1">IFERROR(__xludf.DUMMYFUNCTION("""COMPUTED_VALUE"""),68.88)</f>
        <v>68.88</v>
      </c>
    </row>
    <row r="77" spans="1:2" x14ac:dyDescent="0.25">
      <c r="A77" s="2">
        <f ca="1">IFERROR(__xludf.DUMMYFUNCTION("""COMPUTED_VALUE"""),45401.6666666666)</f>
        <v>45401.666666666599</v>
      </c>
      <c r="B77" s="1">
        <f ca="1">IFERROR(__xludf.DUMMYFUNCTION("""COMPUTED_VALUE"""),69.07)</f>
        <v>69.069999999999993</v>
      </c>
    </row>
    <row r="78" spans="1:2" x14ac:dyDescent="0.25">
      <c r="A78" s="2">
        <f ca="1">IFERROR(__xludf.DUMMYFUNCTION("""COMPUTED_VALUE"""),45404.6666666666)</f>
        <v>45404.666666666599</v>
      </c>
      <c r="B78" s="1">
        <f ca="1">IFERROR(__xludf.DUMMYFUNCTION("""COMPUTED_VALUE"""),70.68)</f>
        <v>70.680000000000007</v>
      </c>
    </row>
    <row r="79" spans="1:2" x14ac:dyDescent="0.25">
      <c r="A79" s="2">
        <f ca="1">IFERROR(__xludf.DUMMYFUNCTION("""COMPUTED_VALUE"""),45405.6666666666)</f>
        <v>45405.666666666599</v>
      </c>
      <c r="B79" s="1">
        <f ca="1">IFERROR(__xludf.DUMMYFUNCTION("""COMPUTED_VALUE"""),72.51)</f>
        <v>72.510000000000005</v>
      </c>
    </row>
    <row r="80" spans="1:2" x14ac:dyDescent="0.25">
      <c r="A80" s="2">
        <f ca="1">IFERROR(__xludf.DUMMYFUNCTION("""COMPUTED_VALUE"""),45406.6666666666)</f>
        <v>45406.666666666599</v>
      </c>
      <c r="B80" s="1">
        <f ca="1">IFERROR(__xludf.DUMMYFUNCTION("""COMPUTED_VALUE"""),74.63)</f>
        <v>74.63</v>
      </c>
    </row>
    <row r="81" spans="1:2" x14ac:dyDescent="0.25">
      <c r="A81" s="2">
        <f ca="1">IFERROR(__xludf.DUMMYFUNCTION("""COMPUTED_VALUE"""),45407.6666666666)</f>
        <v>45407.666666666599</v>
      </c>
      <c r="B81" s="1">
        <f ca="1">IFERROR(__xludf.DUMMYFUNCTION("""COMPUTED_VALUE"""),75.11)</f>
        <v>75.11</v>
      </c>
    </row>
    <row r="82" spans="1:2" x14ac:dyDescent="0.25">
      <c r="A82" s="2">
        <f ca="1">IFERROR(__xludf.DUMMYFUNCTION("""COMPUTED_VALUE"""),45408.6666666666)</f>
        <v>45408.666666666599</v>
      </c>
      <c r="B82" s="1">
        <f ca="1">IFERROR(__xludf.DUMMYFUNCTION("""COMPUTED_VALUE"""),75.55)</f>
        <v>75.55</v>
      </c>
    </row>
    <row r="83" spans="1:2" x14ac:dyDescent="0.25">
      <c r="A83" s="2">
        <f ca="1">IFERROR(__xludf.DUMMYFUNCTION("""COMPUTED_VALUE"""),45411.6666666666)</f>
        <v>45411.666666666599</v>
      </c>
      <c r="B83" s="1">
        <f ca="1">IFERROR(__xludf.DUMMYFUNCTION("""COMPUTED_VALUE"""),76.41)</f>
        <v>76.41</v>
      </c>
    </row>
    <row r="84" spans="1:2" x14ac:dyDescent="0.25">
      <c r="A84" s="2">
        <f ca="1">IFERROR(__xludf.DUMMYFUNCTION("""COMPUTED_VALUE"""),45412.6666666666)</f>
        <v>45412.666666666599</v>
      </c>
      <c r="B84" s="1">
        <f ca="1">IFERROR(__xludf.DUMMYFUNCTION("""COMPUTED_VALUE"""),74.85)</f>
        <v>74.849999999999994</v>
      </c>
    </row>
    <row r="85" spans="1:2" x14ac:dyDescent="0.25">
      <c r="A85" s="2">
        <f ca="1">IFERROR(__xludf.DUMMYFUNCTION("""COMPUTED_VALUE"""),45413.6666666666)</f>
        <v>45413.666666666599</v>
      </c>
      <c r="B85" s="1">
        <f ca="1">IFERROR(__xludf.DUMMYFUNCTION("""COMPUTED_VALUE"""),75.51)</f>
        <v>75.510000000000005</v>
      </c>
    </row>
    <row r="86" spans="1:2" x14ac:dyDescent="0.25">
      <c r="A86" s="2">
        <f ca="1">IFERROR(__xludf.DUMMYFUNCTION("""COMPUTED_VALUE"""),45414.6666666666)</f>
        <v>45414.666666666599</v>
      </c>
      <c r="B86" s="1">
        <f ca="1">IFERROR(__xludf.DUMMYFUNCTION("""COMPUTED_VALUE"""),80.33)</f>
        <v>80.33</v>
      </c>
    </row>
    <row r="87" spans="1:2" x14ac:dyDescent="0.25">
      <c r="A87" s="2">
        <f ca="1">IFERROR(__xludf.DUMMYFUNCTION("""COMPUTED_VALUE"""),45415.6666666666)</f>
        <v>45415.666666666599</v>
      </c>
      <c r="B87" s="1">
        <f ca="1">IFERROR(__xludf.DUMMYFUNCTION("""COMPUTED_VALUE"""),81.33)</f>
        <v>81.33</v>
      </c>
    </row>
    <row r="88" spans="1:2" x14ac:dyDescent="0.25">
      <c r="A88" s="2">
        <f ca="1">IFERROR(__xludf.DUMMYFUNCTION("""COMPUTED_VALUE"""),45418.6666666666)</f>
        <v>45418.666666666599</v>
      </c>
      <c r="B88" s="1">
        <f ca="1">IFERROR(__xludf.DUMMYFUNCTION("""COMPUTED_VALUE"""),81.55)</f>
        <v>81.55</v>
      </c>
    </row>
    <row r="89" spans="1:2" x14ac:dyDescent="0.25">
      <c r="A89" s="2">
        <f ca="1">IFERROR(__xludf.DUMMYFUNCTION("""COMPUTED_VALUE"""),45419.6666666666)</f>
        <v>45419.666666666599</v>
      </c>
      <c r="B89" s="1">
        <f ca="1">IFERROR(__xludf.DUMMYFUNCTION("""COMPUTED_VALUE"""),79.37)</f>
        <v>79.37</v>
      </c>
    </row>
    <row r="90" spans="1:2" x14ac:dyDescent="0.25">
      <c r="A90" s="2">
        <f ca="1">IFERROR(__xludf.DUMMYFUNCTION("""COMPUTED_VALUE"""),45420.6666666666)</f>
        <v>45420.666666666599</v>
      </c>
      <c r="B90" s="1">
        <f ca="1">IFERROR(__xludf.DUMMYFUNCTION("""COMPUTED_VALUE"""),78.46)</f>
        <v>78.459999999999994</v>
      </c>
    </row>
    <row r="91" spans="1:2" x14ac:dyDescent="0.25">
      <c r="A91" s="2">
        <f ca="1">IFERROR(__xludf.DUMMYFUNCTION("""COMPUTED_VALUE"""),45421.6666666666)</f>
        <v>45421.666666666599</v>
      </c>
      <c r="B91" s="1">
        <f ca="1">IFERROR(__xludf.DUMMYFUNCTION("""COMPUTED_VALUE"""),79.46)</f>
        <v>79.459999999999994</v>
      </c>
    </row>
    <row r="92" spans="1:2" x14ac:dyDescent="0.25">
      <c r="A92" s="2">
        <f ca="1">IFERROR(__xludf.DUMMYFUNCTION("""COMPUTED_VALUE"""),45422.6666666666)</f>
        <v>45422.666666666599</v>
      </c>
      <c r="B92" s="1">
        <f ca="1">IFERROR(__xludf.DUMMYFUNCTION("""COMPUTED_VALUE"""),80.04)</f>
        <v>80.040000000000006</v>
      </c>
    </row>
    <row r="93" spans="1:2" x14ac:dyDescent="0.25">
      <c r="A93" s="2">
        <f ca="1">IFERROR(__xludf.DUMMYFUNCTION("""COMPUTED_VALUE"""),45425.6666666666)</f>
        <v>45425.666666666599</v>
      </c>
      <c r="B93" s="1">
        <f ca="1">IFERROR(__xludf.DUMMYFUNCTION("""COMPUTED_VALUE"""),84.6)</f>
        <v>84.6</v>
      </c>
    </row>
    <row r="94" spans="1:2" x14ac:dyDescent="0.25">
      <c r="A94" s="2">
        <f ca="1">IFERROR(__xludf.DUMMYFUNCTION("""COMPUTED_VALUE"""),45426.6666666666)</f>
        <v>45426.666666666599</v>
      </c>
      <c r="B94" s="1">
        <f ca="1">IFERROR(__xludf.DUMMYFUNCTION("""COMPUTED_VALUE"""),79.51)</f>
        <v>79.510000000000005</v>
      </c>
    </row>
    <row r="95" spans="1:2" x14ac:dyDescent="0.25">
      <c r="A95" s="2">
        <f ca="1">IFERROR(__xludf.DUMMYFUNCTION("""COMPUTED_VALUE"""),45427.6666666666)</f>
        <v>45427.666666666599</v>
      </c>
      <c r="B95" s="1">
        <f ca="1">IFERROR(__xludf.DUMMYFUNCTION("""COMPUTED_VALUE"""),80.99)</f>
        <v>80.989999999999995</v>
      </c>
    </row>
    <row r="96" spans="1:2" x14ac:dyDescent="0.25">
      <c r="A96" s="2">
        <f ca="1">IFERROR(__xludf.DUMMYFUNCTION("""COMPUTED_VALUE"""),45428.6666666666)</f>
        <v>45428.666666666599</v>
      </c>
      <c r="B96" s="1">
        <f ca="1">IFERROR(__xludf.DUMMYFUNCTION("""COMPUTED_VALUE"""),86.7)</f>
        <v>86.7</v>
      </c>
    </row>
    <row r="97" spans="1:2" x14ac:dyDescent="0.25">
      <c r="A97" s="2">
        <f ca="1">IFERROR(__xludf.DUMMYFUNCTION("""COMPUTED_VALUE"""),45429.6666666666)</f>
        <v>45429.666666666599</v>
      </c>
      <c r="B97" s="1">
        <f ca="1">IFERROR(__xludf.DUMMYFUNCTION("""COMPUTED_VALUE"""),88.54)</f>
        <v>88.54</v>
      </c>
    </row>
    <row r="98" spans="1:2" x14ac:dyDescent="0.25">
      <c r="A98" s="2">
        <f ca="1">IFERROR(__xludf.DUMMYFUNCTION("""COMPUTED_VALUE"""),45432.6666666666)</f>
        <v>45432.666666666599</v>
      </c>
      <c r="B98" s="1">
        <f ca="1">IFERROR(__xludf.DUMMYFUNCTION("""COMPUTED_VALUE"""),88.28)</f>
        <v>88.28</v>
      </c>
    </row>
    <row r="99" spans="1:2" x14ac:dyDescent="0.25">
      <c r="A99" s="2">
        <f ca="1">IFERROR(__xludf.DUMMYFUNCTION("""COMPUTED_VALUE"""),45433.6666666666)</f>
        <v>45433.666666666599</v>
      </c>
      <c r="B99" s="1">
        <f ca="1">IFERROR(__xludf.DUMMYFUNCTION("""COMPUTED_VALUE"""),86.13)</f>
        <v>86.13</v>
      </c>
    </row>
    <row r="100" spans="1:2" x14ac:dyDescent="0.25">
      <c r="A100" s="2">
        <f ca="1">IFERROR(__xludf.DUMMYFUNCTION("""COMPUTED_VALUE"""),45434.6666666666)</f>
        <v>45434.666666666599</v>
      </c>
      <c r="B100" s="1">
        <f ca="1">IFERROR(__xludf.DUMMYFUNCTION("""COMPUTED_VALUE"""),82.68)</f>
        <v>82.68</v>
      </c>
    </row>
    <row r="101" spans="1:2" x14ac:dyDescent="0.25">
      <c r="A101" s="2">
        <f ca="1">IFERROR(__xludf.DUMMYFUNCTION("""COMPUTED_VALUE"""),45435.6666666666)</f>
        <v>45435.666666666599</v>
      </c>
      <c r="B101" s="1">
        <f ca="1">IFERROR(__xludf.DUMMYFUNCTION("""COMPUTED_VALUE"""),80.8)</f>
        <v>80.8</v>
      </c>
    </row>
    <row r="102" spans="1:2" x14ac:dyDescent="0.25">
      <c r="A102" s="2">
        <f ca="1">IFERROR(__xludf.DUMMYFUNCTION("""COMPUTED_VALUE"""),45436.6666666666)</f>
        <v>45436.666666666599</v>
      </c>
      <c r="B102" s="1">
        <f ca="1">IFERROR(__xludf.DUMMYFUNCTION("""COMPUTED_VALUE"""),81.26)</f>
        <v>81.260000000000005</v>
      </c>
    </row>
    <row r="103" spans="1:2" x14ac:dyDescent="0.25">
      <c r="A103" s="2">
        <f ca="1">IFERROR(__xludf.DUMMYFUNCTION("""COMPUTED_VALUE"""),45440.6666666666)</f>
        <v>45440.666666666599</v>
      </c>
      <c r="B103" s="1">
        <f ca="1">IFERROR(__xludf.DUMMYFUNCTION("""COMPUTED_VALUE"""),80.58)</f>
        <v>80.58</v>
      </c>
    </row>
    <row r="104" spans="1:2" x14ac:dyDescent="0.25">
      <c r="A104" s="2">
        <f ca="1">IFERROR(__xludf.DUMMYFUNCTION("""COMPUTED_VALUE"""),45441.6666666666)</f>
        <v>45441.666666666599</v>
      </c>
      <c r="B104" s="1">
        <f ca="1">IFERROR(__xludf.DUMMYFUNCTION("""COMPUTED_VALUE"""),79.06)</f>
        <v>79.06</v>
      </c>
    </row>
    <row r="105" spans="1:2" x14ac:dyDescent="0.25">
      <c r="A105" s="2">
        <f ca="1">IFERROR(__xludf.DUMMYFUNCTION("""COMPUTED_VALUE"""),45442.6666666666)</f>
        <v>45442.666666666599</v>
      </c>
      <c r="B105" s="1">
        <f ca="1">IFERROR(__xludf.DUMMYFUNCTION("""COMPUTED_VALUE"""),79.63)</f>
        <v>79.63</v>
      </c>
    </row>
    <row r="106" spans="1:2" x14ac:dyDescent="0.25">
      <c r="A106" s="2">
        <f ca="1">IFERROR(__xludf.DUMMYFUNCTION("""COMPUTED_VALUE"""),45443.6666666666)</f>
        <v>45443.666666666599</v>
      </c>
      <c r="B106" s="1">
        <f ca="1">IFERROR(__xludf.DUMMYFUNCTION("""COMPUTED_VALUE"""),78.34)</f>
        <v>78.34</v>
      </c>
    </row>
    <row r="107" spans="1:2" x14ac:dyDescent="0.25">
      <c r="A107" s="2">
        <f ca="1">IFERROR(__xludf.DUMMYFUNCTION("""COMPUTED_VALUE"""),45446.6666666666)</f>
        <v>45446.666666666599</v>
      </c>
      <c r="B107" s="1">
        <f ca="1">IFERROR(__xludf.DUMMYFUNCTION("""COMPUTED_VALUE"""),77.9)</f>
        <v>77.900000000000006</v>
      </c>
    </row>
    <row r="108" spans="1:2" x14ac:dyDescent="0.25">
      <c r="A108" s="2">
        <f ca="1">IFERROR(__xludf.DUMMYFUNCTION("""COMPUTED_VALUE"""),45447.6666666666)</f>
        <v>45447.666666666599</v>
      </c>
      <c r="B108" s="1">
        <f ca="1">IFERROR(__xludf.DUMMYFUNCTION("""COMPUTED_VALUE"""),78.45)</f>
        <v>78.45</v>
      </c>
    </row>
    <row r="109" spans="1:2" x14ac:dyDescent="0.25">
      <c r="A109" s="2">
        <f ca="1">IFERROR(__xludf.DUMMYFUNCTION("""COMPUTED_VALUE"""),45448.6666666666)</f>
        <v>45448.666666666599</v>
      </c>
      <c r="B109" s="1">
        <f ca="1">IFERROR(__xludf.DUMMYFUNCTION("""COMPUTED_VALUE"""),79.83)</f>
        <v>79.83</v>
      </c>
    </row>
    <row r="110" spans="1:2" x14ac:dyDescent="0.25">
      <c r="A110" s="2">
        <f ca="1">IFERROR(__xludf.DUMMYFUNCTION("""COMPUTED_VALUE"""),45449.6666666666)</f>
        <v>45449.666666666599</v>
      </c>
      <c r="B110" s="1">
        <f ca="1">IFERROR(__xludf.DUMMYFUNCTION("""COMPUTED_VALUE"""),80.01)</f>
        <v>80.010000000000005</v>
      </c>
    </row>
    <row r="111" spans="1:2" x14ac:dyDescent="0.25">
      <c r="A111" s="2">
        <f ca="1">IFERROR(__xludf.DUMMYFUNCTION("""COMPUTED_VALUE"""),45450.6666666666)</f>
        <v>45450.666666666599</v>
      </c>
      <c r="B111" s="1">
        <f ca="1">IFERROR(__xludf.DUMMYFUNCTION("""COMPUTED_VALUE"""),78.41)</f>
        <v>78.41</v>
      </c>
    </row>
    <row r="112" spans="1:2" x14ac:dyDescent="0.25">
      <c r="A112" s="2">
        <f ca="1">IFERROR(__xludf.DUMMYFUNCTION("""COMPUTED_VALUE"""),45453.6666666666)</f>
        <v>45453.666666666599</v>
      </c>
      <c r="B112" s="1">
        <f ca="1">IFERROR(__xludf.DUMMYFUNCTION("""COMPUTED_VALUE"""),79.3)</f>
        <v>79.3</v>
      </c>
    </row>
    <row r="113" spans="1:2" x14ac:dyDescent="0.25">
      <c r="A113" s="2">
        <f ca="1">IFERROR(__xludf.DUMMYFUNCTION("""COMPUTED_VALUE"""),45454.6666666666)</f>
        <v>45454.666666666599</v>
      </c>
      <c r="B113" s="1">
        <f ca="1">IFERROR(__xludf.DUMMYFUNCTION("""COMPUTED_VALUE"""),77.9)</f>
        <v>77.900000000000006</v>
      </c>
    </row>
    <row r="114" spans="1:2" x14ac:dyDescent="0.25">
      <c r="A114" s="2">
        <f ca="1">IFERROR(__xludf.DUMMYFUNCTION("""COMPUTED_VALUE"""),45455.6666666666)</f>
        <v>45455.666666666599</v>
      </c>
      <c r="B114" s="1">
        <f ca="1">IFERROR(__xludf.DUMMYFUNCTION("""COMPUTED_VALUE"""),78.04)</f>
        <v>78.040000000000006</v>
      </c>
    </row>
    <row r="115" spans="1:2" x14ac:dyDescent="0.25">
      <c r="A115" s="2">
        <f ca="1">IFERROR(__xludf.DUMMYFUNCTION("""COMPUTED_VALUE"""),45456.6666666666)</f>
        <v>45456.666666666599</v>
      </c>
      <c r="B115" s="1">
        <f ca="1">IFERROR(__xludf.DUMMYFUNCTION("""COMPUTED_VALUE"""),75.68)</f>
        <v>75.680000000000007</v>
      </c>
    </row>
    <row r="116" spans="1:2" x14ac:dyDescent="0.25">
      <c r="A116" s="2">
        <f ca="1">IFERROR(__xludf.DUMMYFUNCTION("""COMPUTED_VALUE"""),45457.6666666666)</f>
        <v>45457.666666666599</v>
      </c>
      <c r="B116" s="1">
        <f ca="1">IFERROR(__xludf.DUMMYFUNCTION("""COMPUTED_VALUE"""),73.35)</f>
        <v>73.349999999999994</v>
      </c>
    </row>
    <row r="117" spans="1:2" x14ac:dyDescent="0.25">
      <c r="A117" s="2">
        <f ca="1">IFERROR(__xludf.DUMMYFUNCTION("""COMPUTED_VALUE"""),45460.6666666666)</f>
        <v>45460.666666666599</v>
      </c>
      <c r="B117" s="1">
        <f ca="1">IFERROR(__xludf.DUMMYFUNCTION("""COMPUTED_VALUE"""),74.55)</f>
        <v>74.55</v>
      </c>
    </row>
    <row r="118" spans="1:2" x14ac:dyDescent="0.25">
      <c r="A118" s="2">
        <f ca="1">IFERROR(__xludf.DUMMYFUNCTION("""COMPUTED_VALUE"""),45461.6666666666)</f>
        <v>45461.666666666599</v>
      </c>
      <c r="B118" s="1">
        <f ca="1">IFERROR(__xludf.DUMMYFUNCTION("""COMPUTED_VALUE"""),74.46)</f>
        <v>74.459999999999994</v>
      </c>
    </row>
    <row r="119" spans="1:2" x14ac:dyDescent="0.25">
      <c r="A119" s="2">
        <f ca="1">IFERROR(__xludf.DUMMYFUNCTION("""COMPUTED_VALUE"""),45463.6666666666)</f>
        <v>45463.666666666599</v>
      </c>
      <c r="B119" s="1">
        <f ca="1">IFERROR(__xludf.DUMMYFUNCTION("""COMPUTED_VALUE"""),74.35)</f>
        <v>74.349999999999994</v>
      </c>
    </row>
    <row r="120" spans="1:2" x14ac:dyDescent="0.25">
      <c r="A120" s="2">
        <f ca="1">IFERROR(__xludf.DUMMYFUNCTION("""COMPUTED_VALUE"""),45464.6666666666)</f>
        <v>45464.666666666599</v>
      </c>
      <c r="B120" s="1">
        <f ca="1">IFERROR(__xludf.DUMMYFUNCTION("""COMPUTED_VALUE"""),73.67)</f>
        <v>73.67</v>
      </c>
    </row>
    <row r="121" spans="1:2" x14ac:dyDescent="0.25">
      <c r="A121" s="2">
        <f ca="1">IFERROR(__xludf.DUMMYFUNCTION("""COMPUTED_VALUE"""),45467.6666666666)</f>
        <v>45467.666666666599</v>
      </c>
      <c r="B121" s="1">
        <f ca="1">IFERROR(__xludf.DUMMYFUNCTION("""COMPUTED_VALUE"""),74.79)</f>
        <v>74.790000000000006</v>
      </c>
    </row>
    <row r="122" spans="1:2" x14ac:dyDescent="0.25">
      <c r="A122" s="2">
        <f ca="1">IFERROR(__xludf.DUMMYFUNCTION("""COMPUTED_VALUE"""),45468.6666666666)</f>
        <v>45468.666666666599</v>
      </c>
      <c r="B122" s="1">
        <f ca="1">IFERROR(__xludf.DUMMYFUNCTION("""COMPUTED_VALUE"""),73.79)</f>
        <v>73.790000000000006</v>
      </c>
    </row>
    <row r="123" spans="1:2" x14ac:dyDescent="0.25">
      <c r="A123" s="2">
        <f ca="1">IFERROR(__xludf.DUMMYFUNCTION("""COMPUTED_VALUE"""),45469.6666666666)</f>
        <v>45469.666666666599</v>
      </c>
      <c r="B123" s="1">
        <f ca="1">IFERROR(__xludf.DUMMYFUNCTION("""COMPUTED_VALUE"""),74.17)</f>
        <v>74.17</v>
      </c>
    </row>
    <row r="124" spans="1:2" x14ac:dyDescent="0.25">
      <c r="A124" s="2">
        <f ca="1">IFERROR(__xludf.DUMMYFUNCTION("""COMPUTED_VALUE"""),45470.6666666666)</f>
        <v>45470.666666666599</v>
      </c>
      <c r="B124" s="1">
        <f ca="1">IFERROR(__xludf.DUMMYFUNCTION("""COMPUTED_VALUE"""),72.37)</f>
        <v>72.37</v>
      </c>
    </row>
    <row r="125" spans="1:2" x14ac:dyDescent="0.25">
      <c r="A125" s="2">
        <f ca="1">IFERROR(__xludf.DUMMYFUNCTION("""COMPUTED_VALUE"""),45471.6666666666)</f>
        <v>45471.666666666599</v>
      </c>
      <c r="B125" s="1">
        <f ca="1">IFERROR(__xludf.DUMMYFUNCTION("""COMPUTED_VALUE"""),72)</f>
        <v>72</v>
      </c>
    </row>
    <row r="126" spans="1:2" x14ac:dyDescent="0.25">
      <c r="A126" s="2">
        <f ca="1">IFERROR(__xludf.DUMMYFUNCTION("""COMPUTED_VALUE"""),45474.6666666666)</f>
        <v>45474.666666666599</v>
      </c>
      <c r="B126" s="1">
        <f ca="1">IFERROR(__xludf.DUMMYFUNCTION("""COMPUTED_VALUE"""),72.18)</f>
        <v>72.180000000000007</v>
      </c>
    </row>
    <row r="127" spans="1:2" x14ac:dyDescent="0.25">
      <c r="A127" s="2">
        <f ca="1">IFERROR(__xludf.DUMMYFUNCTION("""COMPUTED_VALUE"""),45475.6666666666)</f>
        <v>45475.666666666599</v>
      </c>
      <c r="B127" s="1">
        <f ca="1">IFERROR(__xludf.DUMMYFUNCTION("""COMPUTED_VALUE"""),73.68)</f>
        <v>73.680000000000007</v>
      </c>
    </row>
    <row r="128" spans="1:2" x14ac:dyDescent="0.25">
      <c r="A128" s="2">
        <f ca="1">IFERROR(__xludf.DUMMYFUNCTION("""COMPUTED_VALUE"""),45476.5416666666)</f>
        <v>45476.541666666599</v>
      </c>
      <c r="B128" s="1">
        <f ca="1">IFERROR(__xludf.DUMMYFUNCTION("""COMPUTED_VALUE"""),75.57)</f>
        <v>75.569999999999993</v>
      </c>
    </row>
    <row r="129" spans="1:2" x14ac:dyDescent="0.25">
      <c r="A129" s="2">
        <f ca="1">IFERROR(__xludf.DUMMYFUNCTION("""COMPUTED_VALUE"""),45478.6666666666)</f>
        <v>45478.666666666599</v>
      </c>
      <c r="B129" s="1">
        <f ca="1">IFERROR(__xludf.DUMMYFUNCTION("""COMPUTED_VALUE"""),74.52)</f>
        <v>74.52</v>
      </c>
    </row>
    <row r="130" spans="1:2" x14ac:dyDescent="0.25">
      <c r="A130" s="2">
        <f ca="1">IFERROR(__xludf.DUMMYFUNCTION("""COMPUTED_VALUE"""),45481.6666666666)</f>
        <v>45481.666666666599</v>
      </c>
      <c r="B130" s="1">
        <f ca="1">IFERROR(__xludf.DUMMYFUNCTION("""COMPUTED_VALUE"""),73.5)</f>
        <v>73.5</v>
      </c>
    </row>
    <row r="131" spans="1:2" x14ac:dyDescent="0.25">
      <c r="A131" s="2">
        <f ca="1">IFERROR(__xludf.DUMMYFUNCTION("""COMPUTED_VALUE"""),45482.6666666666)</f>
        <v>45482.666666666599</v>
      </c>
      <c r="B131" s="1">
        <f ca="1">IFERROR(__xludf.DUMMYFUNCTION("""COMPUTED_VALUE"""),75.7)</f>
        <v>75.7</v>
      </c>
    </row>
    <row r="132" spans="1:2" x14ac:dyDescent="0.25">
      <c r="A132" s="2">
        <f ca="1">IFERROR(__xludf.DUMMYFUNCTION("""COMPUTED_VALUE"""),45483.6666666666)</f>
        <v>45483.666666666599</v>
      </c>
      <c r="B132" s="1">
        <f ca="1">IFERROR(__xludf.DUMMYFUNCTION("""COMPUTED_VALUE"""),76.01)</f>
        <v>76.010000000000005</v>
      </c>
    </row>
    <row r="133" spans="1:2" x14ac:dyDescent="0.25">
      <c r="A133" s="2">
        <f ca="1">IFERROR(__xludf.DUMMYFUNCTION("""COMPUTED_VALUE"""),45484.6666666666)</f>
        <v>45484.666666666599</v>
      </c>
      <c r="B133" s="1">
        <f ca="1">IFERROR(__xludf.DUMMYFUNCTION("""COMPUTED_VALUE"""),78.52)</f>
        <v>78.52</v>
      </c>
    </row>
    <row r="134" spans="1:2" x14ac:dyDescent="0.25">
      <c r="A134" s="2">
        <f ca="1">IFERROR(__xludf.DUMMYFUNCTION("""COMPUTED_VALUE"""),45485.6666666666)</f>
        <v>45485.666666666599</v>
      </c>
      <c r="B134" s="1">
        <f ca="1">IFERROR(__xludf.DUMMYFUNCTION("""COMPUTED_VALUE"""),79.65)</f>
        <v>79.650000000000006</v>
      </c>
    </row>
    <row r="135" spans="1:2" x14ac:dyDescent="0.25">
      <c r="A135" s="2">
        <f ca="1">IFERROR(__xludf.DUMMYFUNCTION("""COMPUTED_VALUE"""),45488.6666666666)</f>
        <v>45488.666666666599</v>
      </c>
      <c r="B135" s="1">
        <f ca="1">IFERROR(__xludf.DUMMYFUNCTION("""COMPUTED_VALUE"""),78.01)</f>
        <v>78.010000000000005</v>
      </c>
    </row>
    <row r="136" spans="1:2" x14ac:dyDescent="0.25">
      <c r="A136" s="2">
        <f ca="1">IFERROR(__xludf.DUMMYFUNCTION("""COMPUTED_VALUE"""),45489.6666666666)</f>
        <v>45489.666666666599</v>
      </c>
      <c r="B136" s="1">
        <f ca="1">IFERROR(__xludf.DUMMYFUNCTION("""COMPUTED_VALUE"""),78.38)</f>
        <v>78.38</v>
      </c>
    </row>
    <row r="137" spans="1:2" x14ac:dyDescent="0.25">
      <c r="A137" s="2">
        <f ca="1">IFERROR(__xludf.DUMMYFUNCTION("""COMPUTED_VALUE"""),45490.6666666666)</f>
        <v>45490.666666666599</v>
      </c>
      <c r="B137" s="1">
        <f ca="1">IFERROR(__xludf.DUMMYFUNCTION("""COMPUTED_VALUE"""),77.04)</f>
        <v>77.040000000000006</v>
      </c>
    </row>
    <row r="138" spans="1:2" x14ac:dyDescent="0.25">
      <c r="A138" s="2">
        <f ca="1">IFERROR(__xludf.DUMMYFUNCTION("""COMPUTED_VALUE"""),45491.6666666666)</f>
        <v>45491.666666666599</v>
      </c>
      <c r="B138" s="1">
        <f ca="1">IFERROR(__xludf.DUMMYFUNCTION("""COMPUTED_VALUE"""),76.54)</f>
        <v>76.540000000000006</v>
      </c>
    </row>
    <row r="139" spans="1:2" x14ac:dyDescent="0.25">
      <c r="A139" s="2">
        <f ca="1">IFERROR(__xludf.DUMMYFUNCTION("""COMPUTED_VALUE"""),45492.6666666666)</f>
        <v>45492.666666666599</v>
      </c>
      <c r="B139" s="1">
        <f ca="1">IFERROR(__xludf.DUMMYFUNCTION("""COMPUTED_VALUE"""),75.27)</f>
        <v>75.27</v>
      </c>
    </row>
    <row r="140" spans="1:2" x14ac:dyDescent="0.25">
      <c r="A140" s="2">
        <f ca="1">IFERROR(__xludf.DUMMYFUNCTION("""COMPUTED_VALUE"""),45495.6666666666)</f>
        <v>45495.666666666599</v>
      </c>
      <c r="B140" s="1">
        <f ca="1">IFERROR(__xludf.DUMMYFUNCTION("""COMPUTED_VALUE"""),76.64)</f>
        <v>76.64</v>
      </c>
    </row>
    <row r="141" spans="1:2" x14ac:dyDescent="0.25">
      <c r="A141" s="2">
        <f ca="1">IFERROR(__xludf.DUMMYFUNCTION("""COMPUTED_VALUE"""),45496.6666666666)</f>
        <v>45496.666666666599</v>
      </c>
      <c r="B141" s="1">
        <f ca="1">IFERROR(__xludf.DUMMYFUNCTION("""COMPUTED_VALUE"""),76.1)</f>
        <v>76.099999999999994</v>
      </c>
    </row>
    <row r="142" spans="1:2" x14ac:dyDescent="0.25">
      <c r="A142" s="2">
        <f ca="1">IFERROR(__xludf.DUMMYFUNCTION("""COMPUTED_VALUE"""),45497.6666666666)</f>
        <v>45497.666666666599</v>
      </c>
      <c r="B142" s="1">
        <f ca="1">IFERROR(__xludf.DUMMYFUNCTION("""COMPUTED_VALUE"""),75.8)</f>
        <v>75.8</v>
      </c>
    </row>
    <row r="143" spans="1:2" x14ac:dyDescent="0.25">
      <c r="A143" s="2">
        <f ca="1">IFERROR(__xludf.DUMMYFUNCTION("""COMPUTED_VALUE"""),45498.6666666666)</f>
        <v>45498.666666666599</v>
      </c>
      <c r="B143" s="1">
        <f ca="1">IFERROR(__xludf.DUMMYFUNCTION("""COMPUTED_VALUE"""),75.4)</f>
        <v>75.400000000000006</v>
      </c>
    </row>
    <row r="144" spans="1:2" x14ac:dyDescent="0.25">
      <c r="A144" s="2">
        <f ca="1">IFERROR(__xludf.DUMMYFUNCTION("""COMPUTED_VALUE"""),45499.6666666666)</f>
        <v>45499.666666666599</v>
      </c>
      <c r="B144" s="1">
        <f ca="1">IFERROR(__xludf.DUMMYFUNCTION("""COMPUTED_VALUE"""),76.53)</f>
        <v>76.53</v>
      </c>
    </row>
    <row r="145" spans="1:2" x14ac:dyDescent="0.25">
      <c r="A145" s="2">
        <f ca="1">IFERROR(__xludf.DUMMYFUNCTION("""COMPUTED_VALUE"""),45502.6666666666)</f>
        <v>45502.666666666599</v>
      </c>
      <c r="B145" s="1">
        <f ca="1">IFERROR(__xludf.DUMMYFUNCTION("""COMPUTED_VALUE"""),78.62)</f>
        <v>78.62</v>
      </c>
    </row>
    <row r="146" spans="1:2" x14ac:dyDescent="0.25">
      <c r="A146" s="2">
        <f ca="1">IFERROR(__xludf.DUMMYFUNCTION("""COMPUTED_VALUE"""),45503.6666666666)</f>
        <v>45503.666666666599</v>
      </c>
      <c r="B146" s="1">
        <f ca="1">IFERROR(__xludf.DUMMYFUNCTION("""COMPUTED_VALUE"""),78)</f>
        <v>78</v>
      </c>
    </row>
    <row r="147" spans="1:2" x14ac:dyDescent="0.25">
      <c r="A147" s="2">
        <f ca="1">IFERROR(__xludf.DUMMYFUNCTION("""COMPUTED_VALUE"""),45504.6666666666)</f>
        <v>45504.666666666599</v>
      </c>
      <c r="B147" s="1">
        <f ca="1">IFERROR(__xludf.DUMMYFUNCTION("""COMPUTED_VALUE"""),78.85)</f>
        <v>78.849999999999994</v>
      </c>
    </row>
    <row r="148" spans="1:2" x14ac:dyDescent="0.25">
      <c r="A148" s="2">
        <f ca="1">IFERROR(__xludf.DUMMYFUNCTION("""COMPUTED_VALUE"""),45505.6666666666)</f>
        <v>45505.666666666599</v>
      </c>
      <c r="B148" s="1">
        <f ca="1">IFERROR(__xludf.DUMMYFUNCTION("""COMPUTED_VALUE"""),77.98)</f>
        <v>77.98</v>
      </c>
    </row>
    <row r="149" spans="1:2" x14ac:dyDescent="0.25">
      <c r="A149" s="2">
        <f ca="1">IFERROR(__xludf.DUMMYFUNCTION("""COMPUTED_VALUE"""),45506.6666666666)</f>
        <v>45506.666666666599</v>
      </c>
      <c r="B149" s="1">
        <f ca="1">IFERROR(__xludf.DUMMYFUNCTION("""COMPUTED_VALUE"""),77.45)</f>
        <v>77.45</v>
      </c>
    </row>
    <row r="150" spans="1:2" x14ac:dyDescent="0.25">
      <c r="A150" s="2">
        <f ca="1">IFERROR(__xludf.DUMMYFUNCTION("""COMPUTED_VALUE"""),45509.6666666666)</f>
        <v>45509.666666666599</v>
      </c>
      <c r="B150" s="1">
        <f ca="1">IFERROR(__xludf.DUMMYFUNCTION("""COMPUTED_VALUE"""),76.98)</f>
        <v>76.98</v>
      </c>
    </row>
    <row r="151" spans="1:2" x14ac:dyDescent="0.25">
      <c r="A151" s="2">
        <f ca="1">IFERROR(__xludf.DUMMYFUNCTION("""COMPUTED_VALUE"""),45510.6666666666)</f>
        <v>45510.666666666599</v>
      </c>
      <c r="B151" s="1">
        <f ca="1">IFERROR(__xludf.DUMMYFUNCTION("""COMPUTED_VALUE"""),77.9)</f>
        <v>77.900000000000006</v>
      </c>
    </row>
    <row r="152" spans="1:2" x14ac:dyDescent="0.25">
      <c r="A152" s="2">
        <f ca="1">IFERROR(__xludf.DUMMYFUNCTION("""COMPUTED_VALUE"""),45511.6666666666)</f>
        <v>45511.666666666599</v>
      </c>
      <c r="B152" s="1">
        <f ca="1">IFERROR(__xludf.DUMMYFUNCTION("""COMPUTED_VALUE"""),77.83)</f>
        <v>77.83</v>
      </c>
    </row>
    <row r="153" spans="1:2" x14ac:dyDescent="0.25">
      <c r="A153" s="2">
        <f ca="1">IFERROR(__xludf.DUMMYFUNCTION("""COMPUTED_VALUE"""),45512.6666666666)</f>
        <v>45512.666666666599</v>
      </c>
      <c r="B153" s="1">
        <f ca="1">IFERROR(__xludf.DUMMYFUNCTION("""COMPUTED_VALUE"""),80.31)</f>
        <v>80.31</v>
      </c>
    </row>
    <row r="154" spans="1:2" x14ac:dyDescent="0.25">
      <c r="A154" s="2">
        <f ca="1">IFERROR(__xludf.DUMMYFUNCTION("""COMPUTED_VALUE"""),45513.6666666666)</f>
        <v>45513.666666666599</v>
      </c>
      <c r="B154" s="1">
        <f ca="1">IFERROR(__xludf.DUMMYFUNCTION("""COMPUTED_VALUE"""),79.99)</f>
        <v>79.989999999999995</v>
      </c>
    </row>
    <row r="155" spans="1:2" x14ac:dyDescent="0.25">
      <c r="A155" s="2">
        <f ca="1">IFERROR(__xludf.DUMMYFUNCTION("""COMPUTED_VALUE"""),45516.6666666666)</f>
        <v>45516.666666666599</v>
      </c>
      <c r="B155" s="1">
        <f ca="1">IFERROR(__xludf.DUMMYFUNCTION("""COMPUTED_VALUE"""),80.91)</f>
        <v>80.91</v>
      </c>
    </row>
    <row r="156" spans="1:2" x14ac:dyDescent="0.25">
      <c r="A156" s="2">
        <f ca="1">IFERROR(__xludf.DUMMYFUNCTION("""COMPUTED_VALUE"""),45517.6666666666)</f>
        <v>45517.666666666599</v>
      </c>
      <c r="B156" s="1">
        <f ca="1">IFERROR(__xludf.DUMMYFUNCTION("""COMPUTED_VALUE"""),81.1)</f>
        <v>81.099999999999994</v>
      </c>
    </row>
    <row r="157" spans="1:2" x14ac:dyDescent="0.25">
      <c r="A157" s="2">
        <f ca="1">IFERROR(__xludf.DUMMYFUNCTION("""COMPUTED_VALUE"""),45518.6666666666)</f>
        <v>45518.666666666599</v>
      </c>
      <c r="B157" s="1">
        <f ca="1">IFERROR(__xludf.DUMMYFUNCTION("""COMPUTED_VALUE"""),79.47)</f>
        <v>79.47</v>
      </c>
    </row>
    <row r="158" spans="1:2" x14ac:dyDescent="0.25">
      <c r="A158" s="2">
        <f ca="1">IFERROR(__xludf.DUMMYFUNCTION("""COMPUTED_VALUE"""),45519.6666666666)</f>
        <v>45519.666666666599</v>
      </c>
      <c r="B158" s="1">
        <f ca="1">IFERROR(__xludf.DUMMYFUNCTION("""COMPUTED_VALUE"""),79.54)</f>
        <v>79.540000000000006</v>
      </c>
    </row>
    <row r="159" spans="1:2" x14ac:dyDescent="0.25">
      <c r="A159" s="2">
        <f ca="1">IFERROR(__xludf.DUMMYFUNCTION("""COMPUTED_VALUE"""),45520.6666666666)</f>
        <v>45520.666666666599</v>
      </c>
      <c r="B159" s="1">
        <f ca="1">IFERROR(__xludf.DUMMYFUNCTION("""COMPUTED_VALUE"""),83.18)</f>
        <v>83.18</v>
      </c>
    </row>
    <row r="160" spans="1:2" x14ac:dyDescent="0.25">
      <c r="A160" s="2">
        <f ca="1">IFERROR(__xludf.DUMMYFUNCTION("""COMPUTED_VALUE"""),45523.6666666666)</f>
        <v>45523.666666666599</v>
      </c>
      <c r="B160" s="1">
        <f ca="1">IFERROR(__xludf.DUMMYFUNCTION("""COMPUTED_VALUE"""),83.91)</f>
        <v>83.91</v>
      </c>
    </row>
    <row r="161" spans="1:2" x14ac:dyDescent="0.25">
      <c r="A161" s="2">
        <f ca="1">IFERROR(__xludf.DUMMYFUNCTION("""COMPUTED_VALUE"""),45524.6666666666)</f>
        <v>45524.666666666599</v>
      </c>
      <c r="B161" s="1">
        <f ca="1">IFERROR(__xludf.DUMMYFUNCTION("""COMPUTED_VALUE"""),81.04)</f>
        <v>81.040000000000006</v>
      </c>
    </row>
    <row r="162" spans="1:2" x14ac:dyDescent="0.25">
      <c r="A162" s="2">
        <f ca="1">IFERROR(__xludf.DUMMYFUNCTION("""COMPUTED_VALUE"""),45525.6666666666)</f>
        <v>45525.666666666599</v>
      </c>
      <c r="B162" s="1">
        <f ca="1">IFERROR(__xludf.DUMMYFUNCTION("""COMPUTED_VALUE"""),83.53)</f>
        <v>83.53</v>
      </c>
    </row>
    <row r="163" spans="1:2" x14ac:dyDescent="0.25">
      <c r="A163" s="2">
        <f ca="1">IFERROR(__xludf.DUMMYFUNCTION("""COMPUTED_VALUE"""),45526.6666666666)</f>
        <v>45526.666666666599</v>
      </c>
      <c r="B163" s="1">
        <f ca="1">IFERROR(__xludf.DUMMYFUNCTION("""COMPUTED_VALUE"""),82.96)</f>
        <v>82.96</v>
      </c>
    </row>
    <row r="164" spans="1:2" x14ac:dyDescent="0.25">
      <c r="A164" s="2">
        <f ca="1">IFERROR(__xludf.DUMMYFUNCTION("""COMPUTED_VALUE"""),45527.6666666666)</f>
        <v>45527.666666666599</v>
      </c>
      <c r="B164" s="1">
        <f ca="1">IFERROR(__xludf.DUMMYFUNCTION("""COMPUTED_VALUE"""),85.41)</f>
        <v>85.41</v>
      </c>
    </row>
    <row r="165" spans="1:2" x14ac:dyDescent="0.25">
      <c r="A165" s="2">
        <f ca="1">IFERROR(__xludf.DUMMYFUNCTION("""COMPUTED_VALUE"""),45530.6666666666)</f>
        <v>45530.666666666599</v>
      </c>
      <c r="B165" s="1">
        <f ca="1">IFERROR(__xludf.DUMMYFUNCTION("""COMPUTED_VALUE"""),81.76)</f>
        <v>81.760000000000005</v>
      </c>
    </row>
    <row r="166" spans="1:2" x14ac:dyDescent="0.25">
      <c r="A166" s="2">
        <f ca="1">IFERROR(__xludf.DUMMYFUNCTION("""COMPUTED_VALUE"""),45531.6666666666)</f>
        <v>45531.666666666599</v>
      </c>
      <c r="B166" s="1">
        <f ca="1">IFERROR(__xludf.DUMMYFUNCTION("""COMPUTED_VALUE"""),81.45)</f>
        <v>81.45</v>
      </c>
    </row>
    <row r="167" spans="1:2" x14ac:dyDescent="0.25">
      <c r="A167" s="2">
        <f ca="1">IFERROR(__xludf.DUMMYFUNCTION("""COMPUTED_VALUE"""),45532.6666666666)</f>
        <v>45532.666666666599</v>
      </c>
      <c r="B167" s="1">
        <f ca="1">IFERROR(__xludf.DUMMYFUNCTION("""COMPUTED_VALUE"""),79.62)</f>
        <v>79.62</v>
      </c>
    </row>
    <row r="168" spans="1:2" x14ac:dyDescent="0.25">
      <c r="A168" s="2">
        <f ca="1">IFERROR(__xludf.DUMMYFUNCTION("""COMPUTED_VALUE"""),45533.6666666666)</f>
        <v>45533.666666666599</v>
      </c>
      <c r="B168" s="1">
        <f ca="1">IFERROR(__xludf.DUMMYFUNCTION("""COMPUTED_VALUE"""),81.02)</f>
        <v>81.02</v>
      </c>
    </row>
    <row r="169" spans="1:2" x14ac:dyDescent="0.25">
      <c r="A169" s="2">
        <f ca="1">IFERROR(__xludf.DUMMYFUNCTION("""COMPUTED_VALUE"""),45534.6666666666)</f>
        <v>45534.666666666599</v>
      </c>
      <c r="B169" s="1">
        <f ca="1">IFERROR(__xludf.DUMMYFUNCTION("""COMPUTED_VALUE"""),83.34)</f>
        <v>83.34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BABA Training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Zhao Zipeng</cp:lastModifiedBy>
  <dcterms:modified xsi:type="dcterms:W3CDTF">2025-09-29T13:43:37Z</dcterms:modified>
</cp:coreProperties>
</file>