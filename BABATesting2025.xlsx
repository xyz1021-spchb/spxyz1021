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OZ\Downloads\"/>
    </mc:Choice>
  </mc:AlternateContent>
  <xr:revisionPtr revIDLastSave="0" documentId="13_ncr:1_{A631714B-2E95-4208-8232-6FE46629EE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BA Tes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D5" i="2" s="1"/>
  <c r="B5" i="2"/>
  <c r="A5" i="2"/>
  <c r="B4" i="2"/>
  <c r="A4" i="2"/>
</calcChain>
</file>

<file path=xl/sharedStrings.xml><?xml version="1.0" encoding="utf-8"?>
<sst xmlns="http://schemas.openxmlformats.org/spreadsheetml/2006/main" count="2" uniqueCount="2">
  <si>
    <t xml:space="preserve">Alibaba Stock Price Data </t>
  </si>
  <si>
    <t>Number Of 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</si>
</sst>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3"/>
  <sheetViews>
    <sheetView tabSelected="1" workbookViewId="0"/>
  </sheetViews>
  <sheetFormatPr defaultColWidth="12.6640625" defaultRowHeight="15.75" customHeight="1" x14ac:dyDescent="0.25"/>
  <cols>
    <col min="1" max="1" width="34.44140625" customWidth="1"/>
    <col min="4" max="4" width="18.21875" customWidth="1"/>
  </cols>
  <sheetData>
    <row r="2" spans="1:4" x14ac:dyDescent="0.25">
      <c r="A2" s="1" t="s">
        <v>0</v>
      </c>
    </row>
    <row r="4" spans="1:4" x14ac:dyDescent="0.25">
      <c r="A4" s="1" t="str">
        <f ca="1">IFERROR(__xludf.DUMMYFUNCTION("GOOGLEFINANCE(""BABA"", ""price"", ""1/9/2025"", ""29/9/2025"", ""DAILY"")"),"Date")</f>
        <v>Date</v>
      </c>
      <c r="B4" s="1" t="str">
        <f ca="1">IFERROR(__xludf.DUMMYFUNCTION("""COMPUTED_VALUE"""),"Close")</f>
        <v>Close</v>
      </c>
      <c r="D4" s="1" t="s">
        <v>1</v>
      </c>
    </row>
    <row r="5" spans="1:4" x14ac:dyDescent="0.25">
      <c r="A5" s="2">
        <f ca="1">IFERROR(__xludf.DUMMYFUNCTION("""COMPUTED_VALUE"""),45902.6666666666)</f>
        <v>45902.666666666599</v>
      </c>
      <c r="B5" s="1">
        <f ca="1">IFERROR(__xludf.DUMMYFUNCTION("""COMPUTED_VALUE"""),138.55)</f>
        <v>138.55000000000001</v>
      </c>
      <c r="D5" s="1">
        <f ca="1">COUNT(A5:A169)</f>
        <v>19</v>
      </c>
    </row>
    <row r="6" spans="1:4" x14ac:dyDescent="0.25">
      <c r="A6" s="2">
        <f ca="1">IFERROR(__xludf.DUMMYFUNCTION("""COMPUTED_VALUE"""),45903.6666666666)</f>
        <v>45903.666666666599</v>
      </c>
      <c r="B6" s="1">
        <f ca="1">IFERROR(__xludf.DUMMYFUNCTION("""COMPUTED_VALUE"""),136.45)</f>
        <v>136.44999999999999</v>
      </c>
    </row>
    <row r="7" spans="1:4" x14ac:dyDescent="0.25">
      <c r="A7" s="2">
        <f ca="1">IFERROR(__xludf.DUMMYFUNCTION("""COMPUTED_VALUE"""),45904.6666666666)</f>
        <v>45904.666666666599</v>
      </c>
      <c r="B7" s="1">
        <f ca="1">IFERROR(__xludf.DUMMYFUNCTION("""COMPUTED_VALUE"""),130.92)</f>
        <v>130.91999999999999</v>
      </c>
    </row>
    <row r="8" spans="1:4" x14ac:dyDescent="0.25">
      <c r="A8" s="2">
        <f ca="1">IFERROR(__xludf.DUMMYFUNCTION("""COMPUTED_VALUE"""),45905.6666666666)</f>
        <v>45905.666666666599</v>
      </c>
      <c r="B8" s="1">
        <f ca="1">IFERROR(__xludf.DUMMYFUNCTION("""COMPUTED_VALUE"""),135.58)</f>
        <v>135.58000000000001</v>
      </c>
    </row>
    <row r="9" spans="1:4" x14ac:dyDescent="0.25">
      <c r="A9" s="2">
        <f ca="1">IFERROR(__xludf.DUMMYFUNCTION("""COMPUTED_VALUE"""),45908.6666666666)</f>
        <v>45908.666666666599</v>
      </c>
      <c r="B9" s="1">
        <f ca="1">IFERROR(__xludf.DUMMYFUNCTION("""COMPUTED_VALUE"""),141.2)</f>
        <v>141.19999999999999</v>
      </c>
    </row>
    <row r="10" spans="1:4" x14ac:dyDescent="0.25">
      <c r="A10" s="2">
        <f ca="1">IFERROR(__xludf.DUMMYFUNCTION("""COMPUTED_VALUE"""),45909.6666666666)</f>
        <v>45909.666666666599</v>
      </c>
      <c r="B10" s="1">
        <f ca="1">IFERROR(__xludf.DUMMYFUNCTION("""COMPUTED_VALUE"""),147.1)</f>
        <v>147.1</v>
      </c>
    </row>
    <row r="11" spans="1:4" x14ac:dyDescent="0.25">
      <c r="A11" s="2">
        <f ca="1">IFERROR(__xludf.DUMMYFUNCTION("""COMPUTED_VALUE"""),45910.6666666666)</f>
        <v>45910.666666666599</v>
      </c>
      <c r="B11" s="1">
        <f ca="1">IFERROR(__xludf.DUMMYFUNCTION("""COMPUTED_VALUE"""),143.93)</f>
        <v>143.93</v>
      </c>
    </row>
    <row r="12" spans="1:4" x14ac:dyDescent="0.25">
      <c r="A12" s="2">
        <f ca="1">IFERROR(__xludf.DUMMYFUNCTION("""COMPUTED_VALUE"""),45911.6666666666)</f>
        <v>45911.666666666599</v>
      </c>
      <c r="B12" s="1">
        <f ca="1">IFERROR(__xludf.DUMMYFUNCTION("""COMPUTED_VALUE"""),155.44)</f>
        <v>155.44</v>
      </c>
    </row>
    <row r="13" spans="1:4" x14ac:dyDescent="0.25">
      <c r="A13" s="2">
        <f ca="1">IFERROR(__xludf.DUMMYFUNCTION("""COMPUTED_VALUE"""),45912.6666666666)</f>
        <v>45912.666666666599</v>
      </c>
      <c r="B13" s="1">
        <f ca="1">IFERROR(__xludf.DUMMYFUNCTION("""COMPUTED_VALUE"""),155.06)</f>
        <v>155.06</v>
      </c>
    </row>
    <row r="14" spans="1:4" x14ac:dyDescent="0.25">
      <c r="A14" s="2">
        <f ca="1">IFERROR(__xludf.DUMMYFUNCTION("""COMPUTED_VALUE"""),45915.6666666666)</f>
        <v>45915.666666666599</v>
      </c>
      <c r="B14" s="1">
        <f ca="1">IFERROR(__xludf.DUMMYFUNCTION("""COMPUTED_VALUE"""),158.04)</f>
        <v>158.04</v>
      </c>
    </row>
    <row r="15" spans="1:4" x14ac:dyDescent="0.25">
      <c r="A15" s="2">
        <f ca="1">IFERROR(__xludf.DUMMYFUNCTION("""COMPUTED_VALUE"""),45916.6666666666)</f>
        <v>45916.666666666599</v>
      </c>
      <c r="B15" s="1">
        <f ca="1">IFERROR(__xludf.DUMMYFUNCTION("""COMPUTED_VALUE"""),162.21)</f>
        <v>162.21</v>
      </c>
    </row>
    <row r="16" spans="1:4" x14ac:dyDescent="0.25">
      <c r="A16" s="2">
        <f ca="1">IFERROR(__xludf.DUMMYFUNCTION("""COMPUTED_VALUE"""),45917.6666666666)</f>
        <v>45917.666666666599</v>
      </c>
      <c r="B16" s="1">
        <f ca="1">IFERROR(__xludf.DUMMYFUNCTION("""COMPUTED_VALUE"""),166.17)</f>
        <v>166.17</v>
      </c>
    </row>
    <row r="17" spans="1:2" x14ac:dyDescent="0.25">
      <c r="A17" s="2">
        <f ca="1">IFERROR(__xludf.DUMMYFUNCTION("""COMPUTED_VALUE"""),45918.6666666666)</f>
        <v>45918.666666666599</v>
      </c>
      <c r="B17" s="1">
        <f ca="1">IFERROR(__xludf.DUMMYFUNCTION("""COMPUTED_VALUE"""),162.48)</f>
        <v>162.47999999999999</v>
      </c>
    </row>
    <row r="18" spans="1:2" x14ac:dyDescent="0.25">
      <c r="A18" s="2">
        <f ca="1">IFERROR(__xludf.DUMMYFUNCTION("""COMPUTED_VALUE"""),45919.6666666666)</f>
        <v>45919.666666666599</v>
      </c>
      <c r="B18" s="1">
        <f ca="1">IFERROR(__xludf.DUMMYFUNCTION("""COMPUTED_VALUE"""),162.81)</f>
        <v>162.81</v>
      </c>
    </row>
    <row r="19" spans="1:2" x14ac:dyDescent="0.25">
      <c r="A19" s="2">
        <f ca="1">IFERROR(__xludf.DUMMYFUNCTION("""COMPUTED_VALUE"""),45922.6666666666)</f>
        <v>45922.666666666599</v>
      </c>
      <c r="B19" s="1">
        <f ca="1">IFERROR(__xludf.DUMMYFUNCTION("""COMPUTED_VALUE"""),164.25)</f>
        <v>164.25</v>
      </c>
    </row>
    <row r="20" spans="1:2" x14ac:dyDescent="0.25">
      <c r="A20" s="2">
        <f ca="1">IFERROR(__xludf.DUMMYFUNCTION("""COMPUTED_VALUE"""),45923.6666666666)</f>
        <v>45923.666666666599</v>
      </c>
      <c r="B20" s="1">
        <f ca="1">IFERROR(__xludf.DUMMYFUNCTION("""COMPUTED_VALUE"""),163.08)</f>
        <v>163.08000000000001</v>
      </c>
    </row>
    <row r="21" spans="1:2" x14ac:dyDescent="0.25">
      <c r="A21" s="2">
        <f ca="1">IFERROR(__xludf.DUMMYFUNCTION("""COMPUTED_VALUE"""),45924.6666666666)</f>
        <v>45924.666666666599</v>
      </c>
      <c r="B21" s="1">
        <f ca="1">IFERROR(__xludf.DUMMYFUNCTION("""COMPUTED_VALUE"""),176.44)</f>
        <v>176.44</v>
      </c>
    </row>
    <row r="22" spans="1:2" x14ac:dyDescent="0.25">
      <c r="A22" s="2">
        <f ca="1">IFERROR(__xludf.DUMMYFUNCTION("""COMPUTED_VALUE"""),45925.6666666666)</f>
        <v>45925.666666666599</v>
      </c>
      <c r="B22" s="1">
        <f ca="1">IFERROR(__xludf.DUMMYFUNCTION("""COMPUTED_VALUE"""),175.47)</f>
        <v>175.47</v>
      </c>
    </row>
    <row r="23" spans="1:2" x14ac:dyDescent="0.25">
      <c r="A23" s="2">
        <f ca="1">IFERROR(__xludf.DUMMYFUNCTION("""COMPUTED_VALUE"""),45926.6666666666)</f>
        <v>45926.666666666599</v>
      </c>
      <c r="B23" s="1">
        <f ca="1">IFERROR(__xludf.DUMMYFUNCTION("""COMPUTED_VALUE"""),171.91)</f>
        <v>171.91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Zipeng</cp:lastModifiedBy>
  <dcterms:modified xsi:type="dcterms:W3CDTF">2025-09-29T13:27:20Z</dcterms:modified>
</cp:coreProperties>
</file>